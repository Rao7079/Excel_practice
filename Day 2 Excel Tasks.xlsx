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 yadav\Desktop\TASKS IN EXCEL\"/>
    </mc:Choice>
  </mc:AlternateContent>
  <xr:revisionPtr revIDLastSave="0" documentId="13_ncr:1_{61B85744-2DF1-4E00-AB65-83451B61426C}" xr6:coauthVersionLast="47" xr6:coauthVersionMax="47" xr10:uidLastSave="{00000000-0000-0000-0000-000000000000}"/>
  <bookViews>
    <workbookView xWindow="-108" yWindow="-108" windowWidth="23256" windowHeight="12456" firstSheet="3" activeTab="8" xr2:uid="{3A518DAF-3F52-407B-BDD0-68A2C089A9C0}"/>
  </bookViews>
  <sheets>
    <sheet name="Question And Data Sheet" sheetId="1" r:id="rId1"/>
    <sheet name="Task1 Solution" sheetId="2" r:id="rId2"/>
    <sheet name="Task 2 Solution" sheetId="3" r:id="rId3"/>
    <sheet name="Task3 Solution" sheetId="4" r:id="rId4"/>
    <sheet name="Task4 Solution" sheetId="5" r:id="rId5"/>
    <sheet name="Task5 Solution" sheetId="6" r:id="rId6"/>
    <sheet name="Task6 Solution" sheetId="7" r:id="rId7"/>
    <sheet name="Task7 Solution" sheetId="10" r:id="rId8"/>
    <sheet name="Tasks8 Solution" sheetId="11" r:id="rId9"/>
  </sheets>
  <definedNames>
    <definedName name="_xlnm._FilterDatabase" localSheetId="3" hidden="1">'Task3 Solution'!$E$20:$E$27</definedName>
    <definedName name="_xlnm._FilterDatabase" localSheetId="8" hidden="1">'Tasks8 Solution'!$D$8:$D$15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1" l="1" a="1"/>
  <c r="I9" i="11" s="1"/>
  <c r="J9" i="4" a="1"/>
  <c r="J9" i="4" s="1"/>
  <c r="H10" i="10"/>
  <c r="J10" i="7"/>
  <c r="J11" i="7"/>
  <c r="J12" i="7"/>
  <c r="J13" i="7"/>
  <c r="J14" i="7"/>
  <c r="J15" i="7"/>
  <c r="J9" i="7"/>
  <c r="K10" i="6"/>
  <c r="K11" i="6"/>
  <c r="K12" i="6"/>
  <c r="K13" i="6"/>
  <c r="K14" i="6"/>
  <c r="K15" i="6"/>
  <c r="K9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<sst xmlns="http://schemas.openxmlformats.org/spreadsheetml/2006/main" count="381" uniqueCount="41">
  <si>
    <t>Data</t>
  </si>
  <si>
    <t>Name</t>
  </si>
  <si>
    <t>Department</t>
  </si>
  <si>
    <t>Salary</t>
  </si>
  <si>
    <t>Join_Date</t>
  </si>
  <si>
    <t>City</t>
  </si>
  <si>
    <t>Ravi</t>
  </si>
  <si>
    <t>Sales</t>
  </si>
  <si>
    <t>Delhi</t>
  </si>
  <si>
    <t>Ankit</t>
  </si>
  <si>
    <t>HR</t>
  </si>
  <si>
    <t>Mumbai</t>
  </si>
  <si>
    <t>Neha</t>
  </si>
  <si>
    <t>IT</t>
  </si>
  <si>
    <t>Karan</t>
  </si>
  <si>
    <t>Chennai</t>
  </si>
  <si>
    <t>Pooja</t>
  </si>
  <si>
    <t>Varun</t>
  </si>
  <si>
    <t>Bangalore</t>
  </si>
  <si>
    <t>Amit</t>
  </si>
  <si>
    <t>Task 1: Sort Employees by Salary (Highest → Lowest)</t>
  </si>
  <si>
    <t>Task 2: Sort by Department (A → Z) and Salary (Largest → Smallest)</t>
  </si>
  <si>
    <t>Task 3: Filter Employees from Delhi</t>
  </si>
  <si>
    <t>Task 4: Convert the whole data into an Excel Table</t>
  </si>
  <si>
    <t>Task 5: Clean the Name Column</t>
  </si>
  <si>
    <t>Task 6: Convert name to Proper Case</t>
  </si>
  <si>
    <t>Task 7: Find Total Salary of HR Department</t>
  </si>
  <si>
    <t>Task 8: Find Employees who joined after 2021</t>
  </si>
  <si>
    <t>1st method</t>
  </si>
  <si>
    <t>Solution:-Go in the Home tab and next go to the editing ribbion where you find the  sort  and filter option then go custom filter and then sort the column</t>
  </si>
  <si>
    <t>1 st mehtod</t>
  </si>
  <si>
    <t>Solution:-</t>
  </si>
  <si>
    <t>→</t>
  </si>
  <si>
    <t>Solution:- Here we use  Multi level sort  so  go in th  sort and filter option then where choose custom filter and apply filter step by step</t>
  </si>
  <si>
    <t xml:space="preserve">Solution:- We apply here  Multi level sort </t>
  </si>
  <si>
    <t xml:space="preserve">          Task 4: Convert the whole data into an Excel Table</t>
  </si>
  <si>
    <t>1st Method</t>
  </si>
  <si>
    <t>Solution :- we use sort cut formula ctrl+T or go in the insert tab and select Table</t>
  </si>
  <si>
    <t>Solution;- for clean we use trim option</t>
  </si>
  <si>
    <t>Solution :- Here we use proper function for first letter captial and other small like this:-Mark</t>
  </si>
  <si>
    <t>Solution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</si>
</sst>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5" fillId="0" borderId="0" xfId="0" applyFont="1"/>
    <xf numFmtId="0" fontId="7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4" fillId="0" borderId="0" xfId="0" applyFont="1" applyAlignment="1">
      <alignment horizontal="left" vertical="center"/>
    </xf>
    <xf numFmtId="0" fontId="12" fillId="0" borderId="0" xfId="0" applyFont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4" fontId="3" fillId="0" borderId="8" xfId="0" applyNumberFormat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2" borderId="0" xfId="0" applyFill="1"/>
    <xf numFmtId="0" fontId="1" fillId="0" borderId="0" xfId="0" applyFont="1"/>
    <xf numFmtId="0" fontId="11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left" vertical="top" wrapText="1"/>
    </xf>
    <xf numFmtId="165" fontId="0" fillId="0" borderId="0" xfId="0" applyNumberFormat="1"/>
    <xf numFmtId="0" fontId="13" fillId="0" borderId="0" xfId="0" applyFont="1"/>
    <xf numFmtId="0" fontId="0" fillId="0" borderId="1" xfId="0" applyBorder="1"/>
    <xf numFmtId="0" fontId="2" fillId="2" borderId="0" xfId="0" applyFont="1" applyFill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20053</xdr:rowOff>
    </xdr:from>
    <xdr:to>
      <xdr:col>14</xdr:col>
      <xdr:colOff>30079</xdr:colOff>
      <xdr:row>7</xdr:row>
      <xdr:rowOff>342930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20AF1-53DB-F3C3-B3F8-D41E7C8A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7316" y="952500"/>
          <a:ext cx="4070684" cy="914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9</xdr:row>
      <xdr:rowOff>0</xdr:rowOff>
    </xdr:from>
    <xdr:to>
      <xdr:col>16</xdr:col>
      <xdr:colOff>289744</xdr:colOff>
      <xdr:row>11</xdr:row>
      <xdr:rowOff>163218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957B6-961F-BC22-AD0D-D12B22639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1976" y="2303929"/>
          <a:ext cx="2118544" cy="7011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160020</xdr:rowOff>
    </xdr:from>
    <xdr:to>
      <xdr:col>16</xdr:col>
      <xdr:colOff>251460</xdr:colOff>
      <xdr:row>10</xdr:row>
      <xdr:rowOff>236274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D2372-BE8E-B28F-BA74-124F2B511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31620"/>
          <a:ext cx="2689860" cy="11811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14</xdr:col>
      <xdr:colOff>358382</xdr:colOff>
      <xdr:row>10</xdr:row>
      <xdr:rowOff>91494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52DB0-94C3-05B5-558D-6AA17742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0880" y="2385060"/>
          <a:ext cx="2796782" cy="6248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51954</xdr:colOff>
      <xdr:row>9</xdr:row>
      <xdr:rowOff>251114</xdr:rowOff>
    </xdr:from>
    <xdr:to>
      <xdr:col>14</xdr:col>
      <xdr:colOff>502227</xdr:colOff>
      <xdr:row>11</xdr:row>
      <xdr:rowOff>450273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D02CFD-D415-6BE8-382F-185B0C4A7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6999" y="2528455"/>
          <a:ext cx="4511387" cy="10044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02F18-65CD-4DEA-A242-EF41D238BEEA}" name="Table1" displayName="Table1" ref="K8:O15" totalsRowShown="0" headerRowDxfId="8" headerRowBorderDxfId="7" tableBorderDxfId="6" totalsRowBorderDxfId="5">
  <tableColumns count="5">
    <tableColumn id="1" xr3:uid="{C40A985D-58E6-4593-98AC-254F426B0839}" name="Name" dataDxfId="4"/>
    <tableColumn id="2" xr3:uid="{A49D8A8E-B46F-4813-9CF4-836CDA87F502}" name="Department" dataDxfId="3"/>
    <tableColumn id="3" xr3:uid="{D09147E4-EA89-4DB5-BCC0-E49795F46F3F}" name="Salary" dataDxfId="2"/>
    <tableColumn id="4" xr3:uid="{D6F9DF4C-B3B3-4E0C-98B5-E2909164623A}" name="Join_Date" dataDxfId="1"/>
    <tableColumn id="5" xr3:uid="{D81E21A6-47AE-43F0-A73B-2B1DBE5F5422}" name="City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508E-6EFD-41A1-854A-96F110FD8E82}">
  <dimension ref="A1:H19"/>
  <sheetViews>
    <sheetView zoomScale="75" workbookViewId="0">
      <selection activeCell="A8" sqref="A8:F8"/>
    </sheetView>
  </sheetViews>
  <sheetFormatPr defaultRowHeight="14.4" x14ac:dyDescent="0.3"/>
  <cols>
    <col min="1" max="1" width="12.21875" customWidth="1"/>
    <col min="2" max="2" width="16.109375" customWidth="1"/>
    <col min="3" max="3" width="9.5546875" bestFit="1" customWidth="1"/>
    <col min="4" max="4" width="16.6640625" bestFit="1" customWidth="1"/>
    <col min="5" max="5" width="15.21875" customWidth="1"/>
  </cols>
  <sheetData>
    <row r="1" spans="1:8" ht="23.4" x14ac:dyDescent="0.3">
      <c r="A1" s="5" t="s">
        <v>20</v>
      </c>
    </row>
    <row r="2" spans="1:8" ht="23.4" x14ac:dyDescent="0.3">
      <c r="A2" s="5" t="s">
        <v>21</v>
      </c>
      <c r="B2" s="1"/>
      <c r="C2" s="1"/>
      <c r="D2" s="1"/>
      <c r="E2" s="1"/>
      <c r="F2" s="1"/>
      <c r="G2" s="1"/>
      <c r="H2" s="1"/>
    </row>
    <row r="3" spans="1:8" ht="23.4" x14ac:dyDescent="0.3">
      <c r="A3" s="5" t="s">
        <v>22</v>
      </c>
      <c r="B3" s="5"/>
      <c r="C3" s="5"/>
      <c r="D3" s="5"/>
      <c r="E3" s="5"/>
      <c r="F3" s="1"/>
      <c r="G3" s="1"/>
      <c r="H3" s="1"/>
    </row>
    <row r="4" spans="1:8" ht="23.4" x14ac:dyDescent="0.3">
      <c r="A4" s="5" t="s">
        <v>23</v>
      </c>
      <c r="B4" s="5"/>
      <c r="C4" s="5"/>
      <c r="D4" s="5"/>
      <c r="E4" s="5"/>
      <c r="F4" s="1"/>
      <c r="G4" s="1"/>
      <c r="H4" s="1"/>
    </row>
    <row r="5" spans="1:8" ht="23.4" x14ac:dyDescent="0.3">
      <c r="A5" s="5" t="s">
        <v>24</v>
      </c>
      <c r="B5" s="5"/>
      <c r="C5" s="5"/>
      <c r="D5" s="5"/>
      <c r="E5" s="5"/>
      <c r="F5" s="1"/>
      <c r="G5" s="1"/>
      <c r="H5" s="1"/>
    </row>
    <row r="6" spans="1:8" ht="23.4" x14ac:dyDescent="0.3">
      <c r="A6" s="5" t="s">
        <v>25</v>
      </c>
      <c r="B6" s="5"/>
      <c r="C6" s="5"/>
      <c r="D6" s="5"/>
      <c r="E6" s="5"/>
      <c r="F6" s="1"/>
      <c r="G6" s="1"/>
      <c r="H6" s="1"/>
    </row>
    <row r="7" spans="1:8" ht="23.4" x14ac:dyDescent="0.3">
      <c r="A7" s="5" t="s">
        <v>26</v>
      </c>
      <c r="B7" s="5"/>
      <c r="C7" s="5"/>
      <c r="D7" s="5"/>
      <c r="E7" s="5"/>
      <c r="F7" s="1"/>
      <c r="G7" s="1"/>
      <c r="H7" s="1"/>
    </row>
    <row r="8" spans="1:8" ht="23.4" x14ac:dyDescent="0.3">
      <c r="A8" s="5" t="s">
        <v>27</v>
      </c>
      <c r="B8" s="5"/>
      <c r="C8" s="5"/>
      <c r="D8" s="5"/>
      <c r="E8" s="5"/>
      <c r="F8" s="1"/>
      <c r="G8" s="1"/>
      <c r="H8" s="1"/>
    </row>
    <row r="9" spans="1:8" ht="23.4" x14ac:dyDescent="0.3">
      <c r="A9" s="1"/>
      <c r="B9" s="1"/>
      <c r="C9" s="1"/>
      <c r="D9" s="1"/>
      <c r="E9" s="1"/>
      <c r="F9" s="1"/>
      <c r="G9" s="1"/>
      <c r="H9" s="1"/>
    </row>
    <row r="10" spans="1:8" ht="23.4" x14ac:dyDescent="0.3">
      <c r="A10" s="6" t="s">
        <v>0</v>
      </c>
      <c r="B10" s="1"/>
      <c r="C10" s="1"/>
      <c r="D10" s="1"/>
      <c r="E10" s="1"/>
      <c r="F10" s="1"/>
      <c r="G10" s="1"/>
      <c r="H10" s="1"/>
    </row>
    <row r="11" spans="1:8" ht="23.4" x14ac:dyDescent="0.3">
      <c r="A11" s="1"/>
      <c r="B11" s="1"/>
      <c r="C11" s="1"/>
      <c r="D11" s="1"/>
      <c r="E11" s="1"/>
      <c r="F11" s="1"/>
      <c r="G11" s="1"/>
      <c r="H11" s="1"/>
    </row>
    <row r="12" spans="1:8" ht="42" x14ac:dyDescent="0.3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</row>
    <row r="13" spans="1:8" ht="21" x14ac:dyDescent="0.3">
      <c r="A13" s="3" t="s">
        <v>6</v>
      </c>
      <c r="B13" s="3" t="s">
        <v>7</v>
      </c>
      <c r="C13" s="3">
        <v>35000</v>
      </c>
      <c r="D13" s="4">
        <v>44328</v>
      </c>
      <c r="E13" s="3" t="s">
        <v>8</v>
      </c>
    </row>
    <row r="14" spans="1:8" ht="42" x14ac:dyDescent="0.3">
      <c r="A14" s="3" t="s">
        <v>9</v>
      </c>
      <c r="B14" s="3" t="s">
        <v>10</v>
      </c>
      <c r="C14" s="3">
        <v>42000</v>
      </c>
      <c r="D14" s="4">
        <v>43895</v>
      </c>
      <c r="E14" s="3" t="s">
        <v>11</v>
      </c>
    </row>
    <row r="15" spans="1:8" ht="21" x14ac:dyDescent="0.3">
      <c r="A15" s="3" t="s">
        <v>12</v>
      </c>
      <c r="B15" s="3" t="s">
        <v>13</v>
      </c>
      <c r="C15" s="3">
        <v>55000</v>
      </c>
      <c r="D15" s="4">
        <v>44607</v>
      </c>
      <c r="E15" s="3" t="s">
        <v>8</v>
      </c>
    </row>
    <row r="16" spans="1:8" ht="42" x14ac:dyDescent="0.3">
      <c r="A16" s="3" t="s">
        <v>14</v>
      </c>
      <c r="B16" s="3" t="s">
        <v>7</v>
      </c>
      <c r="C16" s="3">
        <v>32000</v>
      </c>
      <c r="D16" s="4">
        <v>44061</v>
      </c>
      <c r="E16" s="3" t="s">
        <v>15</v>
      </c>
    </row>
    <row r="17" spans="1:5" ht="21" x14ac:dyDescent="0.3">
      <c r="A17" s="3" t="s">
        <v>16</v>
      </c>
      <c r="B17" s="3" t="s">
        <v>10</v>
      </c>
      <c r="C17" s="3">
        <v>46000</v>
      </c>
      <c r="D17" s="4">
        <v>44197</v>
      </c>
      <c r="E17" s="3" t="s">
        <v>11</v>
      </c>
    </row>
    <row r="18" spans="1:5" ht="21" x14ac:dyDescent="0.3">
      <c r="A18" s="3" t="s">
        <v>17</v>
      </c>
      <c r="B18" s="3" t="s">
        <v>13</v>
      </c>
      <c r="C18" s="3">
        <v>60000</v>
      </c>
      <c r="D18" s="4">
        <v>43824</v>
      </c>
      <c r="E18" s="3" t="s">
        <v>18</v>
      </c>
    </row>
    <row r="19" spans="1:5" ht="21" x14ac:dyDescent="0.3">
      <c r="A19" s="3" t="s">
        <v>19</v>
      </c>
      <c r="B19" s="3" t="s">
        <v>7</v>
      </c>
      <c r="C19" s="3">
        <v>38000</v>
      </c>
      <c r="D19" s="4">
        <v>44479</v>
      </c>
      <c r="E19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9ABD-D0E2-486E-B5D1-BC222E62D23A}">
  <dimension ref="A1:W14"/>
  <sheetViews>
    <sheetView zoomScale="78" workbookViewId="0">
      <selection activeCell="I14" sqref="I14"/>
    </sheetView>
  </sheetViews>
  <sheetFormatPr defaultRowHeight="14.4" x14ac:dyDescent="0.3"/>
  <cols>
    <col min="1" max="1" width="15.44140625" bestFit="1" customWidth="1"/>
    <col min="2" max="2" width="17.109375" customWidth="1"/>
    <col min="4" max="4" width="15.5546875" bestFit="1" customWidth="1"/>
    <col min="5" max="5" width="19" customWidth="1"/>
    <col min="13" max="13" width="16.77734375" customWidth="1"/>
    <col min="15" max="15" width="15.5546875" bestFit="1" customWidth="1"/>
  </cols>
  <sheetData>
    <row r="1" spans="1:23" ht="28.8" x14ac:dyDescent="0.3">
      <c r="F1" s="13"/>
      <c r="G1" s="13"/>
      <c r="H1" s="26" t="s">
        <v>20</v>
      </c>
      <c r="I1" s="26"/>
      <c r="J1" s="26"/>
      <c r="K1" s="26"/>
      <c r="L1" s="26"/>
      <c r="M1" s="26"/>
      <c r="N1" s="26"/>
      <c r="O1" s="26"/>
      <c r="P1" s="26"/>
    </row>
    <row r="3" spans="1:23" ht="25.8" x14ac:dyDescent="0.5">
      <c r="A3" s="14" t="s">
        <v>28</v>
      </c>
    </row>
    <row r="5" spans="1:23" ht="23.4" x14ac:dyDescent="0.45">
      <c r="A5" s="25" t="s">
        <v>29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7" spans="1:23" ht="42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L7" s="10" t="s">
        <v>1</v>
      </c>
      <c r="M7" s="10" t="s">
        <v>2</v>
      </c>
      <c r="N7" s="10" t="s">
        <v>3</v>
      </c>
      <c r="O7" s="10" t="s">
        <v>4</v>
      </c>
      <c r="P7" s="10" t="s">
        <v>5</v>
      </c>
    </row>
    <row r="8" spans="1:23" ht="42" x14ac:dyDescent="0.3">
      <c r="A8" s="3" t="s">
        <v>6</v>
      </c>
      <c r="B8" s="3" t="s">
        <v>7</v>
      </c>
      <c r="C8" s="3">
        <v>35000</v>
      </c>
      <c r="D8" s="4">
        <v>44328</v>
      </c>
      <c r="E8" s="3" t="s">
        <v>8</v>
      </c>
      <c r="L8" s="3" t="s">
        <v>17</v>
      </c>
      <c r="M8" s="3" t="s">
        <v>13</v>
      </c>
      <c r="N8" s="3">
        <v>60000</v>
      </c>
      <c r="O8" s="4">
        <v>43824</v>
      </c>
      <c r="P8" s="3" t="s">
        <v>18</v>
      </c>
    </row>
    <row r="9" spans="1:23" ht="21" x14ac:dyDescent="0.3">
      <c r="A9" s="3" t="s">
        <v>9</v>
      </c>
      <c r="B9" s="3" t="s">
        <v>10</v>
      </c>
      <c r="C9" s="3">
        <v>42000</v>
      </c>
      <c r="D9" s="4">
        <v>43895</v>
      </c>
      <c r="E9" s="3" t="s">
        <v>11</v>
      </c>
      <c r="L9" s="3" t="s">
        <v>12</v>
      </c>
      <c r="M9" s="3" t="s">
        <v>13</v>
      </c>
      <c r="N9" s="3">
        <v>55000</v>
      </c>
      <c r="O9" s="4">
        <v>44607</v>
      </c>
      <c r="P9" s="3" t="s">
        <v>8</v>
      </c>
    </row>
    <row r="10" spans="1:23" ht="42" x14ac:dyDescent="0.7">
      <c r="A10" s="3" t="s">
        <v>12</v>
      </c>
      <c r="B10" s="3" t="s">
        <v>13</v>
      </c>
      <c r="C10" s="3">
        <v>55000</v>
      </c>
      <c r="D10" s="4">
        <v>44607</v>
      </c>
      <c r="E10" s="3" t="s">
        <v>8</v>
      </c>
      <c r="H10" s="11" t="s">
        <v>32</v>
      </c>
      <c r="L10" s="3" t="s">
        <v>16</v>
      </c>
      <c r="M10" s="3" t="s">
        <v>10</v>
      </c>
      <c r="N10" s="3">
        <v>46000</v>
      </c>
      <c r="O10" s="4">
        <v>44197</v>
      </c>
      <c r="P10" s="3" t="s">
        <v>11</v>
      </c>
    </row>
    <row r="11" spans="1:23" ht="42" x14ac:dyDescent="0.3">
      <c r="A11" s="3" t="s">
        <v>14</v>
      </c>
      <c r="B11" s="3" t="s">
        <v>7</v>
      </c>
      <c r="C11" s="3">
        <v>32000</v>
      </c>
      <c r="D11" s="4">
        <v>44061</v>
      </c>
      <c r="E11" s="3" t="s">
        <v>15</v>
      </c>
      <c r="L11" s="3" t="s">
        <v>9</v>
      </c>
      <c r="M11" s="3" t="s">
        <v>10</v>
      </c>
      <c r="N11" s="3">
        <v>42000</v>
      </c>
      <c r="O11" s="4">
        <v>43895</v>
      </c>
      <c r="P11" s="3" t="s">
        <v>11</v>
      </c>
    </row>
    <row r="12" spans="1:23" ht="21" x14ac:dyDescent="0.3">
      <c r="A12" s="3" t="s">
        <v>16</v>
      </c>
      <c r="B12" s="3" t="s">
        <v>10</v>
      </c>
      <c r="C12" s="3">
        <v>46000</v>
      </c>
      <c r="D12" s="4">
        <v>44197</v>
      </c>
      <c r="E12" s="3" t="s">
        <v>11</v>
      </c>
      <c r="L12" s="3" t="s">
        <v>19</v>
      </c>
      <c r="M12" s="3" t="s">
        <v>7</v>
      </c>
      <c r="N12" s="3">
        <v>38000</v>
      </c>
      <c r="O12" s="4">
        <v>44479</v>
      </c>
      <c r="P12" s="3" t="s">
        <v>8</v>
      </c>
    </row>
    <row r="13" spans="1:23" ht="21" x14ac:dyDescent="0.3">
      <c r="A13" s="3" t="s">
        <v>17</v>
      </c>
      <c r="B13" s="3" t="s">
        <v>13</v>
      </c>
      <c r="C13" s="3">
        <v>60000</v>
      </c>
      <c r="D13" s="4">
        <v>43824</v>
      </c>
      <c r="E13" s="3" t="s">
        <v>18</v>
      </c>
      <c r="L13" s="3" t="s">
        <v>6</v>
      </c>
      <c r="M13" s="3" t="s">
        <v>7</v>
      </c>
      <c r="N13" s="3">
        <v>35000</v>
      </c>
      <c r="O13" s="4">
        <v>44328</v>
      </c>
      <c r="P13" s="3" t="s">
        <v>8</v>
      </c>
    </row>
    <row r="14" spans="1:23" ht="42" x14ac:dyDescent="0.3">
      <c r="A14" s="3" t="s">
        <v>19</v>
      </c>
      <c r="B14" s="3" t="s">
        <v>7</v>
      </c>
      <c r="C14" s="3">
        <v>38000</v>
      </c>
      <c r="D14" s="4">
        <v>44479</v>
      </c>
      <c r="E14" s="3" t="s">
        <v>8</v>
      </c>
      <c r="L14" s="3" t="s">
        <v>14</v>
      </c>
      <c r="M14" s="3" t="s">
        <v>7</v>
      </c>
      <c r="N14" s="3">
        <v>32000</v>
      </c>
      <c r="O14" s="4">
        <v>44061</v>
      </c>
      <c r="P14" s="3" t="s">
        <v>15</v>
      </c>
    </row>
  </sheetData>
  <sortState xmlns:xlrd2="http://schemas.microsoft.com/office/spreadsheetml/2017/richdata2" ref="L8:P14">
    <sortCondition descending="1" ref="N8:N14"/>
  </sortState>
  <mergeCells count="2">
    <mergeCell ref="A5:W5"/>
    <mergeCell ref="H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502F-28B6-4D85-92DC-1BC0E4F61E9B}">
  <dimension ref="A1:M15"/>
  <sheetViews>
    <sheetView zoomScale="73" workbookViewId="0">
      <selection activeCell="I11" sqref="I11"/>
    </sheetView>
  </sheetViews>
  <sheetFormatPr defaultRowHeight="14.4" x14ac:dyDescent="0.3"/>
  <cols>
    <col min="2" max="2" width="16" customWidth="1"/>
    <col min="4" max="4" width="20.5546875" customWidth="1"/>
    <col min="5" max="5" width="17.33203125" customWidth="1"/>
    <col min="9" max="9" width="8.5546875" bestFit="1" customWidth="1"/>
    <col min="10" max="10" width="16" customWidth="1"/>
    <col min="12" max="12" width="15.88671875" customWidth="1"/>
    <col min="13" max="13" width="15.6640625" customWidth="1"/>
  </cols>
  <sheetData>
    <row r="1" spans="1:13" ht="23.4" x14ac:dyDescent="0.3">
      <c r="F1" s="29" t="s">
        <v>21</v>
      </c>
      <c r="G1" s="29"/>
      <c r="H1" s="29"/>
      <c r="I1" s="29"/>
      <c r="J1" s="29"/>
      <c r="K1" s="29"/>
      <c r="L1" s="29"/>
      <c r="M1" s="29"/>
    </row>
    <row r="3" spans="1:13" ht="21" x14ac:dyDescent="0.4">
      <c r="A3" s="27" t="s">
        <v>30</v>
      </c>
      <c r="B3" s="27"/>
      <c r="C3" s="27"/>
    </row>
    <row r="5" spans="1:13" ht="15.6" x14ac:dyDescent="0.3">
      <c r="A5" s="28" t="s">
        <v>33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8" spans="1:13" ht="42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I8" s="10" t="s">
        <v>1</v>
      </c>
      <c r="J8" s="10" t="s">
        <v>2</v>
      </c>
      <c r="K8" s="10" t="s">
        <v>3</v>
      </c>
      <c r="L8" s="10" t="s">
        <v>4</v>
      </c>
      <c r="M8" s="10" t="s">
        <v>5</v>
      </c>
    </row>
    <row r="9" spans="1:13" ht="42" x14ac:dyDescent="0.3">
      <c r="A9" s="3" t="s">
        <v>6</v>
      </c>
      <c r="B9" s="3" t="s">
        <v>7</v>
      </c>
      <c r="C9" s="3">
        <v>35000</v>
      </c>
      <c r="D9" s="4">
        <v>44328</v>
      </c>
      <c r="E9" s="3" t="s">
        <v>8</v>
      </c>
      <c r="I9" s="3" t="s">
        <v>16</v>
      </c>
      <c r="J9" s="3" t="s">
        <v>10</v>
      </c>
      <c r="K9" s="3">
        <v>46000</v>
      </c>
      <c r="L9" s="4">
        <v>44197</v>
      </c>
      <c r="M9" s="3" t="s">
        <v>11</v>
      </c>
    </row>
    <row r="10" spans="1:13" ht="42" x14ac:dyDescent="0.3">
      <c r="A10" s="3" t="s">
        <v>9</v>
      </c>
      <c r="B10" s="3" t="s">
        <v>10</v>
      </c>
      <c r="C10" s="3">
        <v>42000</v>
      </c>
      <c r="D10" s="4">
        <v>43895</v>
      </c>
      <c r="E10" s="3" t="s">
        <v>11</v>
      </c>
      <c r="I10" s="3" t="s">
        <v>9</v>
      </c>
      <c r="J10" s="3" t="s">
        <v>10</v>
      </c>
      <c r="K10" s="3">
        <v>42000</v>
      </c>
      <c r="L10" s="4">
        <v>43895</v>
      </c>
      <c r="M10" s="3" t="s">
        <v>11</v>
      </c>
    </row>
    <row r="11" spans="1:13" ht="36.6" x14ac:dyDescent="0.7">
      <c r="A11" s="3" t="s">
        <v>12</v>
      </c>
      <c r="B11" s="3" t="s">
        <v>13</v>
      </c>
      <c r="C11" s="3">
        <v>55000</v>
      </c>
      <c r="D11" s="4">
        <v>44607</v>
      </c>
      <c r="E11" s="3" t="s">
        <v>8</v>
      </c>
      <c r="G11" s="11" t="s">
        <v>32</v>
      </c>
      <c r="I11" s="3" t="s">
        <v>17</v>
      </c>
      <c r="J11" s="3" t="s">
        <v>13</v>
      </c>
      <c r="K11" s="3">
        <v>60000</v>
      </c>
      <c r="L11" s="4">
        <v>43824</v>
      </c>
      <c r="M11" s="3" t="s">
        <v>18</v>
      </c>
    </row>
    <row r="12" spans="1:13" ht="42" x14ac:dyDescent="0.3">
      <c r="A12" s="3" t="s">
        <v>14</v>
      </c>
      <c r="B12" s="3" t="s">
        <v>7</v>
      </c>
      <c r="C12" s="3">
        <v>32000</v>
      </c>
      <c r="D12" s="4">
        <v>44061</v>
      </c>
      <c r="E12" s="3" t="s">
        <v>15</v>
      </c>
      <c r="I12" s="3" t="s">
        <v>12</v>
      </c>
      <c r="J12" s="3" t="s">
        <v>13</v>
      </c>
      <c r="K12" s="3">
        <v>55000</v>
      </c>
      <c r="L12" s="4">
        <v>44607</v>
      </c>
      <c r="M12" s="3" t="s">
        <v>8</v>
      </c>
    </row>
    <row r="13" spans="1:13" ht="42" x14ac:dyDescent="0.3">
      <c r="A13" s="3" t="s">
        <v>16</v>
      </c>
      <c r="B13" s="3" t="s">
        <v>10</v>
      </c>
      <c r="C13" s="3">
        <v>46000</v>
      </c>
      <c r="D13" s="4">
        <v>44197</v>
      </c>
      <c r="E13" s="3" t="s">
        <v>11</v>
      </c>
      <c r="I13" s="3" t="s">
        <v>19</v>
      </c>
      <c r="J13" s="3" t="s">
        <v>7</v>
      </c>
      <c r="K13" s="3">
        <v>38000</v>
      </c>
      <c r="L13" s="4">
        <v>44479</v>
      </c>
      <c r="M13" s="3" t="s">
        <v>8</v>
      </c>
    </row>
    <row r="14" spans="1:13" ht="42" x14ac:dyDescent="0.3">
      <c r="A14" s="3" t="s">
        <v>17</v>
      </c>
      <c r="B14" s="3" t="s">
        <v>13</v>
      </c>
      <c r="C14" s="3">
        <v>60000</v>
      </c>
      <c r="D14" s="4">
        <v>43824</v>
      </c>
      <c r="E14" s="3" t="s">
        <v>18</v>
      </c>
      <c r="I14" s="3" t="s">
        <v>6</v>
      </c>
      <c r="J14" s="3" t="s">
        <v>7</v>
      </c>
      <c r="K14" s="3">
        <v>35000</v>
      </c>
      <c r="L14" s="4">
        <v>44328</v>
      </c>
      <c r="M14" s="3" t="s">
        <v>8</v>
      </c>
    </row>
    <row r="15" spans="1:13" ht="21" x14ac:dyDescent="0.3">
      <c r="A15" s="3" t="s">
        <v>19</v>
      </c>
      <c r="B15" s="3" t="s">
        <v>7</v>
      </c>
      <c r="C15" s="3">
        <v>38000</v>
      </c>
      <c r="D15" s="4">
        <v>44479</v>
      </c>
      <c r="E15" s="3" t="s">
        <v>8</v>
      </c>
      <c r="I15" s="3" t="s">
        <v>14</v>
      </c>
      <c r="J15" s="3" t="s">
        <v>7</v>
      </c>
      <c r="K15" s="3">
        <v>32000</v>
      </c>
      <c r="L15" s="4">
        <v>44061</v>
      </c>
      <c r="M15" s="3" t="s">
        <v>15</v>
      </c>
    </row>
  </sheetData>
  <sortState xmlns:xlrd2="http://schemas.microsoft.com/office/spreadsheetml/2017/richdata2" ref="I9:M15">
    <sortCondition ref="J9:J15"/>
    <sortCondition descending="1" ref="K9:K15"/>
  </sortState>
  <mergeCells count="3">
    <mergeCell ref="A3:C3"/>
    <mergeCell ref="A5:M5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9F8B-06B7-4567-AC7B-F250F5C6EF18}">
  <sheetPr filterMode="1"/>
  <dimension ref="A1:N31"/>
  <sheetViews>
    <sheetView zoomScale="51" workbookViewId="0">
      <selection activeCell="P9" sqref="P9"/>
    </sheetView>
  </sheetViews>
  <sheetFormatPr defaultRowHeight="14.4" x14ac:dyDescent="0.3"/>
  <cols>
    <col min="1" max="1" width="11.109375" customWidth="1"/>
    <col min="2" max="2" width="16.109375" customWidth="1"/>
    <col min="4" max="4" width="15.5546875" bestFit="1" customWidth="1"/>
    <col min="11" max="11" width="8.5546875" bestFit="1" customWidth="1"/>
    <col min="12" max="12" width="16.88671875" customWidth="1"/>
    <col min="14" max="14" width="15.5546875" bestFit="1" customWidth="1"/>
    <col min="15" max="15" width="17.5546875" customWidth="1"/>
  </cols>
  <sheetData>
    <row r="1" spans="1:14" ht="23.4" x14ac:dyDescent="0.3">
      <c r="G1" s="5" t="s">
        <v>22</v>
      </c>
      <c r="H1" s="5"/>
      <c r="I1" s="5"/>
      <c r="J1" s="5"/>
      <c r="K1" s="5"/>
      <c r="L1" s="5"/>
      <c r="M1" s="5"/>
      <c r="N1" s="5"/>
    </row>
    <row r="3" spans="1:14" ht="21" x14ac:dyDescent="0.4">
      <c r="A3" s="8" t="s">
        <v>28</v>
      </c>
      <c r="B3" s="12"/>
    </row>
    <row r="5" spans="1:14" ht="18" x14ac:dyDescent="0.35">
      <c r="A5" s="30" t="s">
        <v>34</v>
      </c>
      <c r="B5" s="30"/>
      <c r="C5" s="30"/>
      <c r="D5" s="30"/>
      <c r="E5" s="30"/>
    </row>
    <row r="8" spans="1:14" ht="42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</row>
    <row r="9" spans="1:14" ht="21" x14ac:dyDescent="0.3">
      <c r="A9" s="3" t="s">
        <v>6</v>
      </c>
      <c r="B9" s="3" t="s">
        <v>7</v>
      </c>
      <c r="C9" s="3">
        <v>35000</v>
      </c>
      <c r="D9" s="4">
        <v>44328</v>
      </c>
      <c r="E9" s="3" t="s">
        <v>8</v>
      </c>
      <c r="J9" s="34" t="str" cm="1">
        <f t="array" ref="J9:N11">_xlfn._xlws.FILTER(A9:E15,E9:E15="Delhi")</f>
        <v>Ravi</v>
      </c>
      <c r="K9" s="34" t="str">
        <v>Sales</v>
      </c>
      <c r="L9" s="34">
        <v>35000</v>
      </c>
      <c r="M9" s="34">
        <v>44328</v>
      </c>
      <c r="N9" s="34" t="str">
        <v>Delhi</v>
      </c>
    </row>
    <row r="10" spans="1:14" ht="42" x14ac:dyDescent="0.3">
      <c r="A10" s="3" t="s">
        <v>9</v>
      </c>
      <c r="B10" s="3" t="s">
        <v>10</v>
      </c>
      <c r="C10" s="3">
        <v>42000</v>
      </c>
      <c r="D10" s="4">
        <v>43895</v>
      </c>
      <c r="E10" s="3" t="s">
        <v>11</v>
      </c>
      <c r="J10" s="34" t="str">
        <v>Neha</v>
      </c>
      <c r="K10" s="34" t="str">
        <v>IT</v>
      </c>
      <c r="L10" s="34">
        <v>55000</v>
      </c>
      <c r="M10" s="34">
        <v>44607</v>
      </c>
      <c r="N10" s="34" t="str">
        <v>Delhi</v>
      </c>
    </row>
    <row r="11" spans="1:14" ht="21" x14ac:dyDescent="0.3">
      <c r="A11" s="3" t="s">
        <v>12</v>
      </c>
      <c r="B11" s="3" t="s">
        <v>13</v>
      </c>
      <c r="C11" s="3">
        <v>55000</v>
      </c>
      <c r="D11" s="4">
        <v>44607</v>
      </c>
      <c r="E11" s="3" t="s">
        <v>8</v>
      </c>
      <c r="G11" s="33"/>
      <c r="J11" s="34" t="str">
        <v>Amit</v>
      </c>
      <c r="K11" s="34" t="str">
        <v>Sales</v>
      </c>
      <c r="L11" s="34">
        <v>38000</v>
      </c>
      <c r="M11" s="34">
        <v>44479</v>
      </c>
      <c r="N11" s="34" t="str">
        <v>Delhi</v>
      </c>
    </row>
    <row r="12" spans="1:14" ht="42" x14ac:dyDescent="0.7">
      <c r="A12" s="3" t="s">
        <v>14</v>
      </c>
      <c r="B12" s="3" t="s">
        <v>7</v>
      </c>
      <c r="C12" s="3">
        <v>32000</v>
      </c>
      <c r="D12" s="4">
        <v>44061</v>
      </c>
      <c r="E12" s="3" t="s">
        <v>15</v>
      </c>
      <c r="G12" s="11" t="s">
        <v>32</v>
      </c>
    </row>
    <row r="13" spans="1:14" ht="42" x14ac:dyDescent="0.3">
      <c r="A13" s="3" t="s">
        <v>16</v>
      </c>
      <c r="B13" s="3" t="s">
        <v>10</v>
      </c>
      <c r="C13" s="3">
        <v>46000</v>
      </c>
      <c r="D13" s="4">
        <v>44197</v>
      </c>
      <c r="E13" s="3" t="s">
        <v>11</v>
      </c>
    </row>
    <row r="14" spans="1:14" ht="42" x14ac:dyDescent="0.3">
      <c r="A14" s="3" t="s">
        <v>17</v>
      </c>
      <c r="B14" s="3" t="s">
        <v>13</v>
      </c>
      <c r="C14" s="3">
        <v>60000</v>
      </c>
      <c r="D14" s="4">
        <v>43824</v>
      </c>
      <c r="E14" s="3" t="s">
        <v>18</v>
      </c>
    </row>
    <row r="15" spans="1:14" ht="21" x14ac:dyDescent="0.3">
      <c r="A15" s="3" t="s">
        <v>19</v>
      </c>
      <c r="B15" s="3" t="s">
        <v>7</v>
      </c>
      <c r="C15" s="3">
        <v>38000</v>
      </c>
      <c r="D15" s="4">
        <v>44479</v>
      </c>
      <c r="E15" s="3" t="s">
        <v>8</v>
      </c>
    </row>
    <row r="18" spans="1:5" ht="36.6" x14ac:dyDescent="0.7">
      <c r="C18" s="11" t="s">
        <v>32</v>
      </c>
    </row>
    <row r="20" spans="1:5" ht="42" x14ac:dyDescent="0.3">
      <c r="A20" s="10" t="s">
        <v>1</v>
      </c>
      <c r="B20" s="10" t="s">
        <v>2</v>
      </c>
      <c r="C20" s="10" t="s">
        <v>3</v>
      </c>
      <c r="D20" s="10" t="s">
        <v>4</v>
      </c>
      <c r="E20" s="10" t="s">
        <v>5</v>
      </c>
    </row>
    <row r="21" spans="1:5" ht="21" x14ac:dyDescent="0.3">
      <c r="A21" s="3" t="s">
        <v>6</v>
      </c>
      <c r="B21" s="3" t="s">
        <v>7</v>
      </c>
      <c r="C21" s="3">
        <v>35000</v>
      </c>
      <c r="D21" s="4">
        <v>44328</v>
      </c>
      <c r="E21" s="3" t="s">
        <v>8</v>
      </c>
    </row>
    <row r="22" spans="1:5" ht="42" hidden="1" x14ac:dyDescent="0.3">
      <c r="A22" s="3" t="s">
        <v>9</v>
      </c>
      <c r="B22" s="3" t="s">
        <v>10</v>
      </c>
      <c r="C22" s="3">
        <v>42000</v>
      </c>
      <c r="D22" s="4">
        <v>43895</v>
      </c>
      <c r="E22" s="3" t="s">
        <v>11</v>
      </c>
    </row>
    <row r="23" spans="1:5" ht="21" x14ac:dyDescent="0.3">
      <c r="A23" s="3" t="s">
        <v>12</v>
      </c>
      <c r="B23" s="3" t="s">
        <v>13</v>
      </c>
      <c r="C23" s="3">
        <v>55000</v>
      </c>
      <c r="D23" s="4">
        <v>44607</v>
      </c>
      <c r="E23" s="3" t="s">
        <v>8</v>
      </c>
    </row>
    <row r="24" spans="1:5" ht="42" hidden="1" x14ac:dyDescent="0.3">
      <c r="A24" s="3" t="s">
        <v>14</v>
      </c>
      <c r="B24" s="3" t="s">
        <v>7</v>
      </c>
      <c r="C24" s="3">
        <v>32000</v>
      </c>
      <c r="D24" s="4">
        <v>44061</v>
      </c>
      <c r="E24" s="3" t="s">
        <v>15</v>
      </c>
    </row>
    <row r="25" spans="1:5" ht="42" hidden="1" x14ac:dyDescent="0.3">
      <c r="A25" s="3" t="s">
        <v>16</v>
      </c>
      <c r="B25" s="3" t="s">
        <v>10</v>
      </c>
      <c r="C25" s="3">
        <v>46000</v>
      </c>
      <c r="D25" s="4">
        <v>44197</v>
      </c>
      <c r="E25" s="3" t="s">
        <v>11</v>
      </c>
    </row>
    <row r="26" spans="1:5" ht="42" hidden="1" x14ac:dyDescent="0.3">
      <c r="A26" s="3" t="s">
        <v>17</v>
      </c>
      <c r="B26" s="3" t="s">
        <v>13</v>
      </c>
      <c r="C26" s="3">
        <v>60000</v>
      </c>
      <c r="D26" s="4">
        <v>43824</v>
      </c>
      <c r="E26" s="3" t="s">
        <v>18</v>
      </c>
    </row>
    <row r="27" spans="1:5" ht="21" x14ac:dyDescent="0.3">
      <c r="A27" s="3" t="s">
        <v>19</v>
      </c>
      <c r="B27" s="3" t="s">
        <v>7</v>
      </c>
      <c r="C27" s="3">
        <v>38000</v>
      </c>
      <c r="D27" s="4">
        <v>44479</v>
      </c>
      <c r="E27" s="3" t="s">
        <v>8</v>
      </c>
    </row>
    <row r="30" spans="1:5" ht="26.4" customHeight="1" x14ac:dyDescent="0.3">
      <c r="A30" s="31"/>
      <c r="B30" s="31"/>
      <c r="C30" s="31"/>
      <c r="D30" s="31"/>
    </row>
    <row r="31" spans="1:5" ht="18" x14ac:dyDescent="0.35">
      <c r="A31" s="30"/>
      <c r="B31" s="30"/>
      <c r="C31" s="30"/>
      <c r="D31" s="30"/>
    </row>
  </sheetData>
  <autoFilter ref="E20:E27" xr:uid="{811E9F8B-06B7-4567-AC7B-F250F5C6EF18}">
    <filterColumn colId="0">
      <filters>
        <filter val="Delhi"/>
      </filters>
    </filterColumn>
  </autoFilter>
  <mergeCells count="3">
    <mergeCell ref="A5:E5"/>
    <mergeCell ref="A30:D30"/>
    <mergeCell ref="A31:D31"/>
  </mergeCells>
  <phoneticPr fontId="1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6208-C281-4DF3-A388-ADC88B4FBF6D}">
  <dimension ref="A1:P15"/>
  <sheetViews>
    <sheetView zoomScale="74" workbookViewId="0">
      <selection activeCell="H12" sqref="H12"/>
    </sheetView>
  </sheetViews>
  <sheetFormatPr defaultRowHeight="14.4" x14ac:dyDescent="0.3"/>
  <cols>
    <col min="1" max="1" width="11.6640625" customWidth="1"/>
    <col min="2" max="2" width="17.5546875" customWidth="1"/>
    <col min="4" max="4" width="15.5546875" bestFit="1" customWidth="1"/>
    <col min="6" max="6" width="12.5546875" customWidth="1"/>
    <col min="11" max="11" width="10.21875" customWidth="1"/>
    <col min="12" max="12" width="17.88671875" customWidth="1"/>
    <col min="13" max="13" width="10.5546875" customWidth="1"/>
    <col min="14" max="14" width="15.5546875" bestFit="1" customWidth="1"/>
  </cols>
  <sheetData>
    <row r="1" spans="1:16" ht="23.4" x14ac:dyDescent="0.3">
      <c r="F1" s="29" t="s">
        <v>35</v>
      </c>
      <c r="G1" s="29"/>
      <c r="H1" s="29"/>
      <c r="I1" s="29"/>
      <c r="J1" s="29"/>
      <c r="K1" s="29"/>
      <c r="L1" s="29"/>
      <c r="M1" s="29"/>
      <c r="N1" s="29"/>
      <c r="O1" s="29"/>
      <c r="P1" s="29"/>
    </row>
    <row r="3" spans="1:16" ht="25.8" x14ac:dyDescent="0.5">
      <c r="A3" s="14" t="s">
        <v>36</v>
      </c>
    </row>
    <row r="5" spans="1:16" ht="15.6" x14ac:dyDescent="0.3">
      <c r="A5" s="28" t="s">
        <v>37</v>
      </c>
      <c r="B5" s="28"/>
      <c r="C5" s="28"/>
      <c r="D5" s="28"/>
      <c r="E5" s="28"/>
      <c r="F5" s="28"/>
    </row>
    <row r="8" spans="1:16" ht="42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K8" s="17" t="s">
        <v>1</v>
      </c>
      <c r="L8" s="18" t="s">
        <v>2</v>
      </c>
      <c r="M8" s="18" t="s">
        <v>3</v>
      </c>
      <c r="N8" s="18" t="s">
        <v>4</v>
      </c>
      <c r="O8" s="19" t="s">
        <v>5</v>
      </c>
    </row>
    <row r="9" spans="1:16" ht="21" x14ac:dyDescent="0.3">
      <c r="A9" s="3" t="s">
        <v>6</v>
      </c>
      <c r="B9" s="3" t="s">
        <v>7</v>
      </c>
      <c r="C9" s="3">
        <v>35000</v>
      </c>
      <c r="D9" s="4">
        <v>44328</v>
      </c>
      <c r="E9" s="3" t="s">
        <v>8</v>
      </c>
      <c r="K9" s="15" t="s">
        <v>6</v>
      </c>
      <c r="L9" s="3" t="s">
        <v>7</v>
      </c>
      <c r="M9" s="3">
        <v>35000</v>
      </c>
      <c r="N9" s="4">
        <v>44328</v>
      </c>
      <c r="O9" s="16" t="s">
        <v>8</v>
      </c>
    </row>
    <row r="10" spans="1:16" ht="42" x14ac:dyDescent="0.3">
      <c r="A10" s="3" t="s">
        <v>9</v>
      </c>
      <c r="B10" s="3" t="s">
        <v>10</v>
      </c>
      <c r="C10" s="3">
        <v>42000</v>
      </c>
      <c r="D10" s="4">
        <v>43895</v>
      </c>
      <c r="E10" s="3" t="s">
        <v>11</v>
      </c>
      <c r="K10" s="15" t="s">
        <v>9</v>
      </c>
      <c r="L10" s="3" t="s">
        <v>10</v>
      </c>
      <c r="M10" s="3">
        <v>42000</v>
      </c>
      <c r="N10" s="4">
        <v>43895</v>
      </c>
      <c r="O10" s="16" t="s">
        <v>11</v>
      </c>
    </row>
    <row r="11" spans="1:16" ht="21" x14ac:dyDescent="0.3">
      <c r="A11" s="3" t="s">
        <v>12</v>
      </c>
      <c r="B11" s="3" t="s">
        <v>13</v>
      </c>
      <c r="C11" s="3">
        <v>55000</v>
      </c>
      <c r="D11" s="4">
        <v>44607</v>
      </c>
      <c r="E11" s="3" t="s">
        <v>8</v>
      </c>
      <c r="K11" s="15" t="s">
        <v>12</v>
      </c>
      <c r="L11" s="3" t="s">
        <v>13</v>
      </c>
      <c r="M11" s="3">
        <v>55000</v>
      </c>
      <c r="N11" s="4">
        <v>44607</v>
      </c>
      <c r="O11" s="16" t="s">
        <v>8</v>
      </c>
    </row>
    <row r="12" spans="1:16" ht="42" x14ac:dyDescent="0.7">
      <c r="A12" s="3" t="s">
        <v>14</v>
      </c>
      <c r="B12" s="3" t="s">
        <v>7</v>
      </c>
      <c r="C12" s="3">
        <v>32000</v>
      </c>
      <c r="D12" s="4">
        <v>44061</v>
      </c>
      <c r="E12" s="3" t="s">
        <v>15</v>
      </c>
      <c r="H12" s="11" t="s">
        <v>32</v>
      </c>
      <c r="K12" s="15" t="s">
        <v>14</v>
      </c>
      <c r="L12" s="3" t="s">
        <v>7</v>
      </c>
      <c r="M12" s="3">
        <v>32000</v>
      </c>
      <c r="N12" s="4">
        <v>44061</v>
      </c>
      <c r="O12" s="16" t="s">
        <v>15</v>
      </c>
    </row>
    <row r="13" spans="1:16" ht="42" x14ac:dyDescent="0.3">
      <c r="A13" s="3" t="s">
        <v>16</v>
      </c>
      <c r="B13" s="3" t="s">
        <v>10</v>
      </c>
      <c r="C13" s="3">
        <v>46000</v>
      </c>
      <c r="D13" s="4">
        <v>44197</v>
      </c>
      <c r="E13" s="3" t="s">
        <v>11</v>
      </c>
      <c r="K13" s="15" t="s">
        <v>16</v>
      </c>
      <c r="L13" s="3" t="s">
        <v>10</v>
      </c>
      <c r="M13" s="3">
        <v>46000</v>
      </c>
      <c r="N13" s="4">
        <v>44197</v>
      </c>
      <c r="O13" s="16" t="s">
        <v>11</v>
      </c>
    </row>
    <row r="14" spans="1:16" ht="42" x14ac:dyDescent="0.3">
      <c r="A14" s="3" t="s">
        <v>17</v>
      </c>
      <c r="B14" s="3" t="s">
        <v>13</v>
      </c>
      <c r="C14" s="3">
        <v>60000</v>
      </c>
      <c r="D14" s="4">
        <v>43824</v>
      </c>
      <c r="E14" s="3" t="s">
        <v>18</v>
      </c>
      <c r="K14" s="15" t="s">
        <v>17</v>
      </c>
      <c r="L14" s="3" t="s">
        <v>13</v>
      </c>
      <c r="M14" s="3">
        <v>60000</v>
      </c>
      <c r="N14" s="4">
        <v>43824</v>
      </c>
      <c r="O14" s="16" t="s">
        <v>18</v>
      </c>
    </row>
    <row r="15" spans="1:16" ht="21" x14ac:dyDescent="0.3">
      <c r="A15" s="3" t="s">
        <v>19</v>
      </c>
      <c r="B15" s="3" t="s">
        <v>7</v>
      </c>
      <c r="C15" s="3">
        <v>38000</v>
      </c>
      <c r="D15" s="4">
        <v>44479</v>
      </c>
      <c r="E15" s="3" t="s">
        <v>8</v>
      </c>
      <c r="K15" s="20" t="s">
        <v>19</v>
      </c>
      <c r="L15" s="21" t="s">
        <v>7</v>
      </c>
      <c r="M15" s="21">
        <v>38000</v>
      </c>
      <c r="N15" s="22">
        <v>44479</v>
      </c>
      <c r="O15" s="23" t="s">
        <v>8</v>
      </c>
    </row>
  </sheetData>
  <mergeCells count="2">
    <mergeCell ref="F1:P1"/>
    <mergeCell ref="A5:F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855B-2BB6-47F5-A785-8BEC34607856}">
  <dimension ref="A1:L15"/>
  <sheetViews>
    <sheetView zoomScale="83" zoomScaleNormal="85" workbookViewId="0">
      <selection activeCell="I12" sqref="I12"/>
    </sheetView>
  </sheetViews>
  <sheetFormatPr defaultRowHeight="14.4" x14ac:dyDescent="0.3"/>
  <cols>
    <col min="2" max="2" width="17.33203125" customWidth="1"/>
    <col min="4" max="4" width="15.6640625" bestFit="1" customWidth="1"/>
    <col min="5" max="5" width="12.88671875" customWidth="1"/>
  </cols>
  <sheetData>
    <row r="1" spans="1:12" ht="23.4" x14ac:dyDescent="0.3">
      <c r="G1" s="5" t="s">
        <v>24</v>
      </c>
      <c r="H1" s="5"/>
      <c r="I1" s="5"/>
      <c r="J1" s="5"/>
      <c r="K1" s="5"/>
      <c r="L1" s="5"/>
    </row>
    <row r="4" spans="1:12" ht="25.8" x14ac:dyDescent="0.5">
      <c r="A4" s="14" t="s">
        <v>36</v>
      </c>
    </row>
    <row r="5" spans="1:12" ht="25.8" x14ac:dyDescent="0.5">
      <c r="A5" s="14"/>
    </row>
    <row r="6" spans="1:12" ht="21" x14ac:dyDescent="0.4">
      <c r="A6" s="7" t="s">
        <v>38</v>
      </c>
    </row>
    <row r="8" spans="1:12" ht="21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K8" s="10" t="s">
        <v>1</v>
      </c>
    </row>
    <row r="9" spans="1:12" ht="21" x14ac:dyDescent="0.3">
      <c r="A9" s="3" t="s">
        <v>6</v>
      </c>
      <c r="B9" s="3" t="s">
        <v>7</v>
      </c>
      <c r="C9" s="3">
        <v>35000</v>
      </c>
      <c r="D9" s="4">
        <v>44328</v>
      </c>
      <c r="E9" s="3" t="s">
        <v>8</v>
      </c>
      <c r="K9" s="24" t="str">
        <f>TRIM(A9)</f>
        <v>Ravi</v>
      </c>
    </row>
    <row r="10" spans="1:12" ht="21" x14ac:dyDescent="0.3">
      <c r="A10" s="3" t="s">
        <v>9</v>
      </c>
      <c r="B10" s="3" t="s">
        <v>10</v>
      </c>
      <c r="C10" s="3">
        <v>42000</v>
      </c>
      <c r="D10" s="4">
        <v>43895</v>
      </c>
      <c r="E10" s="3" t="s">
        <v>11</v>
      </c>
      <c r="K10" s="24" t="str">
        <f t="shared" ref="K10:K15" si="0">TRIM(A10)</f>
        <v>Ankit</v>
      </c>
    </row>
    <row r="11" spans="1:12" ht="21" x14ac:dyDescent="0.3">
      <c r="A11" s="3" t="s">
        <v>12</v>
      </c>
      <c r="B11" s="3" t="s">
        <v>13</v>
      </c>
      <c r="C11" s="3">
        <v>55000</v>
      </c>
      <c r="D11" s="4">
        <v>44607</v>
      </c>
      <c r="E11" s="3" t="s">
        <v>8</v>
      </c>
      <c r="K11" s="24" t="str">
        <f t="shared" si="0"/>
        <v>Neha</v>
      </c>
    </row>
    <row r="12" spans="1:12" ht="36.6" x14ac:dyDescent="0.7">
      <c r="A12" s="3" t="s">
        <v>14</v>
      </c>
      <c r="B12" s="3" t="s">
        <v>7</v>
      </c>
      <c r="C12" s="3">
        <v>32000</v>
      </c>
      <c r="D12" s="4">
        <v>44061</v>
      </c>
      <c r="E12" s="3" t="s">
        <v>15</v>
      </c>
      <c r="I12" s="11" t="s">
        <v>32</v>
      </c>
      <c r="K12" s="24" t="str">
        <f t="shared" si="0"/>
        <v>Karan</v>
      </c>
    </row>
    <row r="13" spans="1:12" ht="21" x14ac:dyDescent="0.3">
      <c r="A13" s="3" t="s">
        <v>16</v>
      </c>
      <c r="B13" s="3" t="s">
        <v>10</v>
      </c>
      <c r="C13" s="3">
        <v>46000</v>
      </c>
      <c r="D13" s="4">
        <v>44197</v>
      </c>
      <c r="E13" s="3" t="s">
        <v>11</v>
      </c>
      <c r="K13" s="24" t="str">
        <f t="shared" si="0"/>
        <v>Pooja</v>
      </c>
    </row>
    <row r="14" spans="1:12" ht="42" x14ac:dyDescent="0.3">
      <c r="A14" s="3" t="s">
        <v>17</v>
      </c>
      <c r="B14" s="3" t="s">
        <v>13</v>
      </c>
      <c r="C14" s="3">
        <v>60000</v>
      </c>
      <c r="D14" s="4">
        <v>43824</v>
      </c>
      <c r="E14" s="3" t="s">
        <v>18</v>
      </c>
      <c r="K14" s="24" t="str">
        <f t="shared" si="0"/>
        <v>Varun</v>
      </c>
    </row>
    <row r="15" spans="1:12" ht="21" x14ac:dyDescent="0.3">
      <c r="A15" s="3" t="s">
        <v>19</v>
      </c>
      <c r="B15" s="3" t="s">
        <v>7</v>
      </c>
      <c r="C15" s="3">
        <v>38000</v>
      </c>
      <c r="D15" s="4">
        <v>44479</v>
      </c>
      <c r="E15" s="3" t="s">
        <v>8</v>
      </c>
      <c r="K15" s="24" t="str">
        <f t="shared" si="0"/>
        <v>Amit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0311-D2E8-4B4B-B1FA-265EBE16CA48}">
  <dimension ref="A1:K18"/>
  <sheetViews>
    <sheetView zoomScale="79" workbookViewId="0">
      <selection activeCell="H12" sqref="H12"/>
    </sheetView>
  </sheetViews>
  <sheetFormatPr defaultRowHeight="14.4" x14ac:dyDescent="0.3"/>
  <cols>
    <col min="2" max="2" width="16.44140625" customWidth="1"/>
    <col min="4" max="4" width="15.5546875" bestFit="1" customWidth="1"/>
    <col min="5" max="5" width="12.44140625" customWidth="1"/>
  </cols>
  <sheetData>
    <row r="1" spans="1:11" ht="23.4" x14ac:dyDescent="0.3">
      <c r="G1" s="5" t="s">
        <v>25</v>
      </c>
      <c r="H1" s="5"/>
      <c r="I1" s="5"/>
      <c r="J1" s="5"/>
      <c r="K1" s="5"/>
    </row>
    <row r="3" spans="1:11" ht="25.8" x14ac:dyDescent="0.5">
      <c r="A3" s="14" t="s">
        <v>36</v>
      </c>
    </row>
    <row r="5" spans="1:11" ht="15.6" x14ac:dyDescent="0.3">
      <c r="A5" s="28" t="s">
        <v>39</v>
      </c>
      <c r="B5" s="28"/>
      <c r="C5" s="28"/>
      <c r="D5" s="28"/>
      <c r="E5" s="28"/>
      <c r="F5" s="28"/>
      <c r="G5" s="28"/>
      <c r="H5" s="28"/>
      <c r="I5" s="28"/>
    </row>
    <row r="8" spans="1:11" ht="21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J8" s="10" t="s">
        <v>1</v>
      </c>
    </row>
    <row r="9" spans="1:11" ht="21" x14ac:dyDescent="0.3">
      <c r="A9" s="3" t="s">
        <v>6</v>
      </c>
      <c r="B9" s="3" t="s">
        <v>7</v>
      </c>
      <c r="C9" s="3">
        <v>35000</v>
      </c>
      <c r="D9" s="4">
        <v>44328</v>
      </c>
      <c r="E9" s="3" t="s">
        <v>8</v>
      </c>
      <c r="J9" s="24" t="str">
        <f>PROPER(A9)</f>
        <v>Ravi</v>
      </c>
    </row>
    <row r="10" spans="1:11" ht="30.6" customHeight="1" x14ac:dyDescent="0.3">
      <c r="A10" s="3" t="s">
        <v>9</v>
      </c>
      <c r="B10" s="3" t="s">
        <v>10</v>
      </c>
      <c r="C10" s="3">
        <v>42000</v>
      </c>
      <c r="D10" s="4">
        <v>43895</v>
      </c>
      <c r="E10" s="3" t="s">
        <v>11</v>
      </c>
      <c r="J10" s="24" t="str">
        <f t="shared" ref="J10:J15" si="0">PROPER(A10)</f>
        <v>Ankit</v>
      </c>
    </row>
    <row r="11" spans="1:11" ht="21" x14ac:dyDescent="0.3">
      <c r="A11" s="3" t="s">
        <v>12</v>
      </c>
      <c r="B11" s="3" t="s">
        <v>13</v>
      </c>
      <c r="C11" s="3">
        <v>55000</v>
      </c>
      <c r="D11" s="4">
        <v>44607</v>
      </c>
      <c r="E11" s="3" t="s">
        <v>8</v>
      </c>
      <c r="J11" s="24" t="str">
        <f t="shared" si="0"/>
        <v>Neha</v>
      </c>
    </row>
    <row r="12" spans="1:11" ht="36.6" x14ac:dyDescent="0.7">
      <c r="A12" s="3" t="s">
        <v>14</v>
      </c>
      <c r="B12" s="3" t="s">
        <v>7</v>
      </c>
      <c r="C12" s="3">
        <v>32000</v>
      </c>
      <c r="D12" s="4">
        <v>44061</v>
      </c>
      <c r="E12" s="3" t="s">
        <v>15</v>
      </c>
      <c r="H12" s="11" t="s">
        <v>32</v>
      </c>
      <c r="J12" s="24" t="str">
        <f t="shared" si="0"/>
        <v>Karan</v>
      </c>
    </row>
    <row r="13" spans="1:11" ht="42" x14ac:dyDescent="0.3">
      <c r="A13" s="3" t="s">
        <v>16</v>
      </c>
      <c r="B13" s="3" t="s">
        <v>10</v>
      </c>
      <c r="C13" s="3">
        <v>46000</v>
      </c>
      <c r="D13" s="4">
        <v>44197</v>
      </c>
      <c r="E13" s="3" t="s">
        <v>11</v>
      </c>
      <c r="J13" s="24" t="str">
        <f t="shared" si="0"/>
        <v>Pooja</v>
      </c>
    </row>
    <row r="14" spans="1:11" ht="42" x14ac:dyDescent="0.3">
      <c r="A14" s="3" t="s">
        <v>17</v>
      </c>
      <c r="B14" s="3" t="s">
        <v>13</v>
      </c>
      <c r="C14" s="3">
        <v>60000</v>
      </c>
      <c r="D14" s="4">
        <v>43824</v>
      </c>
      <c r="E14" s="3" t="s">
        <v>18</v>
      </c>
      <c r="J14" s="24" t="str">
        <f t="shared" si="0"/>
        <v>Varun</v>
      </c>
    </row>
    <row r="15" spans="1:11" ht="21" x14ac:dyDescent="0.3">
      <c r="A15" s="3" t="s">
        <v>19</v>
      </c>
      <c r="B15" s="3" t="s">
        <v>7</v>
      </c>
      <c r="C15" s="3">
        <v>38000</v>
      </c>
      <c r="D15" s="4">
        <v>44479</v>
      </c>
      <c r="E15" s="3" t="s">
        <v>8</v>
      </c>
      <c r="J15" s="24" t="str">
        <f t="shared" si="0"/>
        <v>Amit</v>
      </c>
    </row>
    <row r="18" spans="9:9" ht="25.8" x14ac:dyDescent="0.5">
      <c r="I18" s="14"/>
    </row>
  </sheetData>
  <mergeCells count="1">
    <mergeCell ref="A5:I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B38C-274D-41F8-861E-BF0A778F81CF}">
  <dimension ref="A1:K15"/>
  <sheetViews>
    <sheetView zoomScale="75" workbookViewId="0">
      <selection activeCell="A8" sqref="A8:E15"/>
    </sheetView>
  </sheetViews>
  <sheetFormatPr defaultRowHeight="14.4" x14ac:dyDescent="0.3"/>
  <cols>
    <col min="2" max="2" width="16" customWidth="1"/>
    <col min="4" max="4" width="15.5546875" bestFit="1" customWidth="1"/>
  </cols>
  <sheetData>
    <row r="1" spans="1:11" ht="23.4" x14ac:dyDescent="0.3">
      <c r="G1" s="5" t="s">
        <v>26</v>
      </c>
      <c r="H1" s="5"/>
      <c r="I1" s="5"/>
      <c r="J1" s="5"/>
      <c r="K1" s="5"/>
    </row>
    <row r="3" spans="1:11" ht="25.8" x14ac:dyDescent="0.5">
      <c r="A3" s="14" t="s">
        <v>36</v>
      </c>
    </row>
    <row r="5" spans="1:11" ht="18" x14ac:dyDescent="0.35">
      <c r="A5" s="9" t="s">
        <v>31</v>
      </c>
    </row>
    <row r="8" spans="1:11" ht="42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</row>
    <row r="9" spans="1:11" ht="21" x14ac:dyDescent="0.3">
      <c r="A9" s="3" t="s">
        <v>6</v>
      </c>
      <c r="B9" s="3" t="s">
        <v>7</v>
      </c>
      <c r="C9" s="3">
        <v>35000</v>
      </c>
      <c r="D9" s="4">
        <v>44328</v>
      </c>
      <c r="E9" s="3" t="s">
        <v>8</v>
      </c>
    </row>
    <row r="10" spans="1:11" ht="42" x14ac:dyDescent="0.3">
      <c r="A10" s="3" t="s">
        <v>9</v>
      </c>
      <c r="B10" s="3" t="s">
        <v>10</v>
      </c>
      <c r="C10" s="3">
        <v>42000</v>
      </c>
      <c r="D10" s="4">
        <v>43895</v>
      </c>
      <c r="E10" s="3" t="s">
        <v>11</v>
      </c>
      <c r="H10" s="24">
        <f>SUMIF(B9:B15,B10,C9:C15)</f>
        <v>88000</v>
      </c>
    </row>
    <row r="11" spans="1:11" ht="21" x14ac:dyDescent="0.3">
      <c r="A11" s="3" t="s">
        <v>12</v>
      </c>
      <c r="B11" s="3" t="s">
        <v>13</v>
      </c>
      <c r="C11" s="3">
        <v>55000</v>
      </c>
      <c r="D11" s="4">
        <v>44607</v>
      </c>
      <c r="E11" s="3" t="s">
        <v>8</v>
      </c>
    </row>
    <row r="12" spans="1:11" ht="42" x14ac:dyDescent="0.3">
      <c r="A12" s="3" t="s">
        <v>14</v>
      </c>
      <c r="B12" s="3" t="s">
        <v>7</v>
      </c>
      <c r="C12" s="3">
        <v>32000</v>
      </c>
      <c r="D12" s="4">
        <v>44061</v>
      </c>
      <c r="E12" s="3" t="s">
        <v>15</v>
      </c>
    </row>
    <row r="13" spans="1:11" ht="42" x14ac:dyDescent="0.3">
      <c r="A13" s="3" t="s">
        <v>16</v>
      </c>
      <c r="B13" s="3" t="s">
        <v>10</v>
      </c>
      <c r="C13" s="3">
        <v>46000</v>
      </c>
      <c r="D13" s="4">
        <v>44197</v>
      </c>
      <c r="E13" s="3" t="s">
        <v>11</v>
      </c>
    </row>
    <row r="14" spans="1:11" ht="42" x14ac:dyDescent="0.3">
      <c r="A14" s="3" t="s">
        <v>17</v>
      </c>
      <c r="B14" s="3" t="s">
        <v>13</v>
      </c>
      <c r="C14" s="3">
        <v>60000</v>
      </c>
      <c r="D14" s="4">
        <v>43824</v>
      </c>
      <c r="E14" s="3" t="s">
        <v>18</v>
      </c>
    </row>
    <row r="15" spans="1:11" ht="21" x14ac:dyDescent="0.3">
      <c r="A15" s="3" t="s">
        <v>19</v>
      </c>
      <c r="B15" s="3" t="s">
        <v>7</v>
      </c>
      <c r="C15" s="3">
        <v>38000</v>
      </c>
      <c r="D15" s="4">
        <v>44479</v>
      </c>
      <c r="E15" s="3" t="s">
        <v>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237F-4EDE-43A7-8FAB-F8FF0DC0890F}">
  <dimension ref="A1:U15"/>
  <sheetViews>
    <sheetView tabSelected="1" zoomScale="88" workbookViewId="0">
      <selection activeCell="R9" sqref="R9"/>
    </sheetView>
  </sheetViews>
  <sheetFormatPr defaultRowHeight="14.4" x14ac:dyDescent="0.3"/>
  <cols>
    <col min="2" max="2" width="16.33203125" bestFit="1" customWidth="1"/>
    <col min="4" max="4" width="15.5546875" bestFit="1" customWidth="1"/>
    <col min="11" max="11" width="17.109375" customWidth="1"/>
    <col min="13" max="13" width="15.5546875" bestFit="1" customWidth="1"/>
    <col min="21" max="21" width="15" bestFit="1" customWidth="1"/>
  </cols>
  <sheetData>
    <row r="1" spans="1:21" ht="23.4" x14ac:dyDescent="0.3">
      <c r="G1" s="29" t="s">
        <v>27</v>
      </c>
      <c r="H1" s="29"/>
      <c r="I1" s="29"/>
      <c r="J1" s="29"/>
      <c r="K1" s="29"/>
      <c r="L1" s="29"/>
      <c r="M1" s="29"/>
      <c r="N1" s="29"/>
    </row>
    <row r="2" spans="1:21" ht="21" x14ac:dyDescent="0.4">
      <c r="A2" s="8" t="s">
        <v>36</v>
      </c>
    </row>
    <row r="5" spans="1:21" x14ac:dyDescent="0.3">
      <c r="A5" t="s">
        <v>40</v>
      </c>
    </row>
    <row r="8" spans="1:21" ht="42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U8" s="32"/>
    </row>
    <row r="9" spans="1:21" ht="21" x14ac:dyDescent="0.4">
      <c r="A9" s="3" t="s">
        <v>6</v>
      </c>
      <c r="B9" s="3" t="s">
        <v>7</v>
      </c>
      <c r="C9" s="3">
        <v>35000</v>
      </c>
      <c r="D9" s="4">
        <v>44328</v>
      </c>
      <c r="E9" s="3" t="s">
        <v>8</v>
      </c>
      <c r="I9" s="35" t="str" cm="1">
        <f t="array" ref="I9:M9">_xlfn._xlws.FILTER(A9:E15,YEAR(D9:D15)&gt;2021)</f>
        <v>Neha</v>
      </c>
      <c r="J9" s="35" t="str">
        <v>IT</v>
      </c>
      <c r="K9" s="35">
        <v>55000</v>
      </c>
      <c r="L9" s="35">
        <v>44607</v>
      </c>
      <c r="M9" s="35" t="str">
        <v>Delhi</v>
      </c>
    </row>
    <row r="10" spans="1:21" ht="42" x14ac:dyDescent="0.3">
      <c r="A10" s="3" t="s">
        <v>9</v>
      </c>
      <c r="B10" s="3" t="s">
        <v>10</v>
      </c>
      <c r="C10" s="3">
        <v>42000</v>
      </c>
      <c r="D10" s="4">
        <v>43895</v>
      </c>
      <c r="E10" s="3" t="s">
        <v>11</v>
      </c>
    </row>
    <row r="11" spans="1:21" ht="21" x14ac:dyDescent="0.3">
      <c r="A11" s="3" t="s">
        <v>12</v>
      </c>
      <c r="B11" s="3" t="s">
        <v>13</v>
      </c>
      <c r="C11" s="3">
        <v>55000</v>
      </c>
      <c r="D11" s="4">
        <v>44607</v>
      </c>
      <c r="E11" s="3" t="s">
        <v>8</v>
      </c>
    </row>
    <row r="12" spans="1:21" ht="42" x14ac:dyDescent="0.7">
      <c r="A12" s="3" t="s">
        <v>14</v>
      </c>
      <c r="B12" s="3" t="s">
        <v>7</v>
      </c>
      <c r="C12" s="3">
        <v>32000</v>
      </c>
      <c r="D12" s="4">
        <v>44061</v>
      </c>
      <c r="E12" s="3" t="s">
        <v>15</v>
      </c>
      <c r="H12" s="11" t="s">
        <v>32</v>
      </c>
    </row>
    <row r="13" spans="1:21" ht="42" x14ac:dyDescent="0.3">
      <c r="A13" s="3" t="s">
        <v>16</v>
      </c>
      <c r="B13" s="3" t="s">
        <v>10</v>
      </c>
      <c r="C13" s="3">
        <v>46000</v>
      </c>
      <c r="D13" s="4">
        <v>44197</v>
      </c>
      <c r="E13" s="3" t="s">
        <v>11</v>
      </c>
    </row>
    <row r="14" spans="1:21" ht="42" x14ac:dyDescent="0.3">
      <c r="A14" s="3" t="s">
        <v>17</v>
      </c>
      <c r="B14" s="3" t="s">
        <v>13</v>
      </c>
      <c r="C14" s="3">
        <v>60000</v>
      </c>
      <c r="D14" s="4">
        <v>43824</v>
      </c>
      <c r="E14" s="3" t="s">
        <v>18</v>
      </c>
    </row>
    <row r="15" spans="1:21" ht="21" x14ac:dyDescent="0.3">
      <c r="A15" s="3" t="s">
        <v>19</v>
      </c>
      <c r="B15" s="3" t="s">
        <v>7</v>
      </c>
      <c r="C15" s="3">
        <v>38000</v>
      </c>
      <c r="D15" s="4">
        <v>44479</v>
      </c>
      <c r="E15" s="3" t="s">
        <v>8</v>
      </c>
    </row>
  </sheetData>
  <mergeCells count="1">
    <mergeCell ref="G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 And Data Sheet</vt:lpstr>
      <vt:lpstr>Task1 Solution</vt:lpstr>
      <vt:lpstr>Task 2 Solution</vt:lpstr>
      <vt:lpstr>Task3 Solution</vt:lpstr>
      <vt:lpstr>Task4 Solution</vt:lpstr>
      <vt:lpstr>Task5 Solution</vt:lpstr>
      <vt:lpstr>Task6 Solution</vt:lpstr>
      <vt:lpstr>Task7 Solution</vt:lpstr>
      <vt:lpstr>Tasks8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YADAV</dc:creator>
  <cp:lastModifiedBy>RAKESH KUMAR YADAV</cp:lastModifiedBy>
  <dcterms:created xsi:type="dcterms:W3CDTF">2025-12-04T13:56:02Z</dcterms:created>
  <dcterms:modified xsi:type="dcterms:W3CDTF">2025-12-05T12:45:14Z</dcterms:modified>
</cp:coreProperties>
</file>