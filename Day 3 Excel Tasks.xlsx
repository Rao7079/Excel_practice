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h yadav\Desktop\TASKS IN EXCEL\"/>
    </mc:Choice>
  </mc:AlternateContent>
  <xr:revisionPtr revIDLastSave="0" documentId="13_ncr:1_{A0635F48-F072-4DED-A752-3AF33210C2CE}" xr6:coauthVersionLast="47" xr6:coauthVersionMax="47" xr10:uidLastSave="{00000000-0000-0000-0000-000000000000}"/>
  <bookViews>
    <workbookView xWindow="-108" yWindow="-108" windowWidth="23256" windowHeight="12456" firstSheet="5" activeTab="8" xr2:uid="{F06F09E5-10A9-413F-A81C-CD4B2EBCAFB8}"/>
  </bookViews>
  <sheets>
    <sheet name="Questions and Data" sheetId="1" r:id="rId1"/>
    <sheet name="Task 1 Solution" sheetId="2" r:id="rId2"/>
    <sheet name="Task 2 Solution" sheetId="3" r:id="rId3"/>
    <sheet name="Task 3 Solution" sheetId="4" r:id="rId4"/>
    <sheet name="Task 4 Solution" sheetId="5" r:id="rId5"/>
    <sheet name="Task 5 Solution" sheetId="6" r:id="rId6"/>
    <sheet name="Task 6 Solution" sheetId="7" r:id="rId7"/>
    <sheet name="Task 7 Solution" sheetId="8" r:id="rId8"/>
    <sheet name="Task 8 Solution" sheetId="9" r:id="rId9"/>
    <sheet name="Task 9 Solution" sheetId="10" r:id="rId10"/>
    <sheet name="Task 10 Solution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0" l="1"/>
  <c r="T12" i="9"/>
  <c r="R11" i="9" a="1"/>
  <c r="R11" i="9" s="1"/>
  <c r="K12" i="8"/>
  <c r="L10" i="7"/>
  <c r="L11" i="7"/>
  <c r="L12" i="7"/>
  <c r="L13" i="7"/>
  <c r="L14" i="7"/>
  <c r="L15" i="7"/>
  <c r="L16" i="7"/>
  <c r="L9" i="7"/>
  <c r="C10" i="6"/>
  <c r="B10" i="6" a="1"/>
  <c r="B10" i="6" s="1"/>
  <c r="C11" i="6"/>
  <c r="C12" i="6"/>
  <c r="C13" i="6"/>
  <c r="A10" i="5" a="1"/>
  <c r="A10" i="5" s="1"/>
  <c r="J21" i="5" a="1"/>
  <c r="J21" i="5" s="1"/>
  <c r="M9" i="4" a="1"/>
  <c r="M9" i="4" s="1"/>
  <c r="L11" i="3"/>
  <c r="J19" i="2"/>
  <c r="J11" i="2" a="1"/>
  <c r="J1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<sst xmlns="http://schemas.openxmlformats.org/spreadsheetml/2006/main" count="395" uniqueCount="46">
  <si>
    <t>OrderID</t>
  </si>
  <si>
    <t>Product</t>
  </si>
  <si>
    <t>Quantity</t>
  </si>
  <si>
    <t>Price</t>
  </si>
  <si>
    <t>City</t>
  </si>
  <si>
    <t>SalesDate</t>
  </si>
  <si>
    <t>Ravi Sharma</t>
  </si>
  <si>
    <t>Chips</t>
  </si>
  <si>
    <t>Delhi</t>
  </si>
  <si>
    <t>Suman Das</t>
  </si>
  <si>
    <t>Biscuits</t>
  </si>
  <si>
    <t>Mumbai</t>
  </si>
  <si>
    <t>Amit Yadav</t>
  </si>
  <si>
    <t>Cold Drink</t>
  </si>
  <si>
    <t>Bangalore</t>
  </si>
  <si>
    <t>Riya Jain</t>
  </si>
  <si>
    <t>Bread</t>
  </si>
  <si>
    <t>Satish Kumar</t>
  </si>
  <si>
    <t>Chennai</t>
  </si>
  <si>
    <t>Anita Devi</t>
  </si>
  <si>
    <t>Rohit Singh</t>
  </si>
  <si>
    <t>Neha Gupta</t>
  </si>
  <si>
    <t>Customer Name</t>
  </si>
  <si>
    <t>Task 1 — Total Amount Column</t>
  </si>
  <si>
    <t>Task 2 — Delhi ki total sales</t>
  </si>
  <si>
    <t>Task 3 — Unique Cities List</t>
  </si>
  <si>
    <t>Task 4 — Top 3 Highest Orders</t>
  </si>
  <si>
    <t>Task 5 — Which Product Sold Most (Quantity)?</t>
  </si>
  <si>
    <t>Task 6 — Extract First Name Only</t>
  </si>
  <si>
    <t>Task 7 — Count Orders from Mumbai</t>
  </si>
  <si>
    <t>Task 8 — Sales on “2/3/2024”</t>
  </si>
  <si>
    <t>Task 9 — Find Product Price Using XLOOKUP</t>
  </si>
  <si>
    <t>Task 10 — Highlight Orders Where Quantity &gt; 7</t>
  </si>
  <si>
    <t>DATA</t>
  </si>
  <si>
    <t>1st method</t>
  </si>
  <si>
    <t>Solution</t>
  </si>
  <si>
    <t>Total Amount</t>
  </si>
  <si>
    <t>Grand Total</t>
  </si>
  <si>
    <t>Total Sales Of Delhi</t>
  </si>
  <si>
    <t>Unique cities</t>
  </si>
  <si>
    <t>2nd method</t>
  </si>
  <si>
    <t xml:space="preserve">   </t>
  </si>
  <si>
    <t xml:space="preserve">    </t>
  </si>
  <si>
    <t>First Name</t>
  </si>
  <si>
    <t>Total Sales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</si>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</sst>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B05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1" fillId="2" borderId="0" xfId="0" applyFont="1" applyFill="1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1" fillId="0" borderId="0" xfId="0" applyFont="1"/>
    <xf numFmtId="0" fontId="1" fillId="0" borderId="2" xfId="0" applyFont="1" applyBorder="1"/>
    <xf numFmtId="0" fontId="0" fillId="0" borderId="4" xfId="0" applyBorder="1"/>
    <xf numFmtId="0" fontId="1" fillId="2" borderId="5" xfId="0" applyFont="1" applyFill="1" applyBorder="1"/>
    <xf numFmtId="0" fontId="0" fillId="2" borderId="0" xfId="0" applyFill="1"/>
    <xf numFmtId="0" fontId="0" fillId="3" borderId="0" xfId="0" applyFill="1"/>
    <xf numFmtId="0" fontId="1" fillId="0" borderId="0" xfId="0" applyFont="1" applyBorder="1"/>
    <xf numFmtId="0" fontId="2" fillId="0" borderId="0" xfId="0" applyFont="1" applyBorder="1"/>
    <xf numFmtId="0" fontId="0" fillId="0" borderId="0" xfId="0" applyBorder="1"/>
    <xf numFmtId="14" fontId="2" fillId="0" borderId="0" xfId="0" applyNumberFormat="1" applyFont="1" applyBorder="1"/>
    <xf numFmtId="0" fontId="7" fillId="2" borderId="0" xfId="0" applyFont="1" applyFill="1"/>
    <xf numFmtId="0" fontId="2" fillId="2" borderId="0" xfId="0" applyFont="1" applyFill="1"/>
    <xf numFmtId="0" fontId="4" fillId="0" borderId="0" xfId="0" applyFont="1"/>
    <xf numFmtId="0" fontId="3" fillId="0" borderId="0" xfId="0" applyFont="1" applyAlignment="1"/>
    <xf numFmtId="0" fontId="4" fillId="2" borderId="0" xfId="0" applyFont="1" applyFill="1"/>
    <xf numFmtId="14" fontId="2" fillId="2" borderId="1" xfId="0" applyNumberFormat="1" applyFont="1" applyFill="1" applyBorder="1"/>
    <xf numFmtId="14" fontId="2" fillId="4" borderId="1" xfId="0" applyNumberFormat="1" applyFont="1" applyFill="1" applyBorder="1"/>
    <xf numFmtId="0" fontId="3" fillId="0" borderId="6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5" borderId="0" xfId="0" applyFill="1"/>
    <xf numFmtId="0" fontId="6" fillId="5" borderId="0" xfId="0" applyFont="1" applyFill="1"/>
    <xf numFmtId="0" fontId="2" fillId="5" borderId="0" xfId="0" applyFont="1" applyFill="1"/>
    <xf numFmtId="0" fontId="1" fillId="6" borderId="5" xfId="0" applyFont="1" applyFill="1" applyBorder="1"/>
    <xf numFmtId="0" fontId="2" fillId="6" borderId="0" xfId="0" applyFont="1" applyFill="1"/>
    <xf numFmtId="0" fontId="0" fillId="7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480591</xdr:colOff>
      <xdr:row>10</xdr:row>
      <xdr:rowOff>14174</xdr:rowOff>
    </xdr:from>
    <xdr:to>
      <xdr:col>8</xdr:col>
      <xdr:colOff>607887</xdr:colOff>
      <xdr:row>10</xdr:row>
      <xdr:rowOff>744876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ED6766-DB77-14C4-E598-1540368F3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5422" y="2240241"/>
          <a:ext cx="1197521" cy="730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11</xdr:row>
      <xdr:rowOff>0</xdr:rowOff>
    </xdr:from>
    <xdr:to>
      <xdr:col>10</xdr:col>
      <xdr:colOff>587921</xdr:colOff>
      <xdr:row>13</xdr:row>
      <xdr:rowOff>197302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D28C51-C20D-4F72-9452-E679055BA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0460" y="2583180"/>
          <a:ext cx="1197521" cy="730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644306</xdr:colOff>
      <xdr:row>18</xdr:row>
      <xdr:rowOff>38107</xdr:rowOff>
    </xdr:from>
    <xdr:to>
      <xdr:col>12</xdr:col>
      <xdr:colOff>294043</xdr:colOff>
      <xdr:row>19</xdr:row>
      <xdr:rowOff>231172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45D509-3409-4AE2-863B-FF741DEE5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737519" y="4256760"/>
          <a:ext cx="381424" cy="608658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0</xdr:rowOff>
    </xdr:from>
    <xdr:to>
      <xdr:col>9</xdr:col>
      <xdr:colOff>396486</xdr:colOff>
      <xdr:row>11</xdr:row>
      <xdr:rowOff>60997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011AD-6219-D86F-8740-C4824B1AD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58340"/>
          <a:ext cx="2834886" cy="42675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15</xdr:col>
      <xdr:colOff>396822</xdr:colOff>
      <xdr:row>16</xdr:row>
      <xdr:rowOff>68618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56A4C9-111A-C8D1-FA79-529819D5F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2872740"/>
          <a:ext cx="6721422" cy="4343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9</xdr:col>
      <xdr:colOff>412163</xdr:colOff>
      <xdr:row>13</xdr:row>
      <xdr:rowOff>75258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5F450A-A135-4AC0-8231-98CA7C956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1380" y="2659380"/>
          <a:ext cx="1021763" cy="608658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9</xdr:col>
      <xdr:colOff>412163</xdr:colOff>
      <xdr:row>12</xdr:row>
      <xdr:rowOff>242898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177788-6858-46E0-8B87-DC12E709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0860" y="2575560"/>
          <a:ext cx="1021763" cy="608658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3</xdr:col>
      <xdr:colOff>426720</xdr:colOff>
      <xdr:row>4</xdr:row>
      <xdr:rowOff>160020</xdr:rowOff>
    </xdr:from>
    <xdr:to>
      <xdr:col>6</xdr:col>
      <xdr:colOff>350717</xdr:colOff>
      <xdr:row>7</xdr:row>
      <xdr:rowOff>99111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33D827-0C56-3CC0-D49E-31F2731F1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9960" y="1104900"/>
          <a:ext cx="2270957" cy="5867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13</xdr:row>
      <xdr:rowOff>0</xdr:rowOff>
    </xdr:from>
    <xdr:to>
      <xdr:col>9</xdr:col>
      <xdr:colOff>412163</xdr:colOff>
      <xdr:row>15</xdr:row>
      <xdr:rowOff>75258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0C74CA-64AA-447F-8FD1-FA4CAFFEE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1380" y="3025140"/>
          <a:ext cx="1021763" cy="608658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11</xdr:row>
      <xdr:rowOff>0</xdr:rowOff>
    </xdr:from>
    <xdr:to>
      <xdr:col>10</xdr:col>
      <xdr:colOff>587921</xdr:colOff>
      <xdr:row>13</xdr:row>
      <xdr:rowOff>197302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E7FFF5-7C5B-4205-9292-A55461D4C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0980" y="2575560"/>
          <a:ext cx="1197521" cy="730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11</xdr:row>
      <xdr:rowOff>0</xdr:rowOff>
    </xdr:from>
    <xdr:to>
      <xdr:col>10</xdr:col>
      <xdr:colOff>587921</xdr:colOff>
      <xdr:row>13</xdr:row>
      <xdr:rowOff>197302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B59462-8514-469A-AFEC-D0B049D0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7160" y="2575560"/>
          <a:ext cx="1197521" cy="730702"/>
        </a:xfrm>
        <a:prstGeom prst="rect">
          <a:avLst/>
        </a:prstGeom>
        <a:solidFill>
          <a:schemeClr val="accent1">
            <a:lumMod val="75000"/>
          </a:schemeClr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899D-7941-4B73-B15C-32E6D7ACF286}">
  <dimension ref="A1:M24"/>
  <sheetViews>
    <sheetView zoomScale="62" workbookViewId="0">
      <selection activeCell="A10" sqref="A10:F10"/>
    </sheetView>
  </sheetViews>
  <sheetFormatPr defaultRowHeight="14.4" x14ac:dyDescent="0.3"/>
  <cols>
    <col min="1" max="1" width="11.77734375" bestFit="1" customWidth="1"/>
    <col min="2" max="2" width="21.44140625" customWidth="1"/>
    <col min="3" max="3" width="14" bestFit="1" customWidth="1"/>
    <col min="4" max="4" width="11.88671875" bestFit="1" customWidth="1"/>
    <col min="5" max="5" width="9.21875" bestFit="1" customWidth="1"/>
    <col min="6" max="6" width="13.44140625" bestFit="1" customWidth="1"/>
    <col min="7" max="7" width="16.44140625" bestFit="1" customWidth="1"/>
  </cols>
  <sheetData>
    <row r="1" spans="1:13" ht="23.4" x14ac:dyDescent="0.3">
      <c r="A1" s="5" t="s">
        <v>23</v>
      </c>
      <c r="B1" s="5"/>
      <c r="C1" s="5"/>
      <c r="D1" s="5"/>
      <c r="E1" s="5"/>
      <c r="F1" s="5"/>
    </row>
    <row r="2" spans="1:13" ht="23.4" x14ac:dyDescent="0.3">
      <c r="A2" s="5" t="s">
        <v>24</v>
      </c>
      <c r="B2" s="5"/>
      <c r="C2" s="5"/>
      <c r="D2" s="5"/>
      <c r="E2" s="5"/>
      <c r="F2" s="5"/>
    </row>
    <row r="3" spans="1:13" ht="23.4" x14ac:dyDescent="0.3">
      <c r="A3" s="5" t="s">
        <v>25</v>
      </c>
      <c r="B3" s="5"/>
      <c r="C3" s="5"/>
      <c r="D3" s="5"/>
      <c r="E3" s="5"/>
      <c r="F3" s="5"/>
    </row>
    <row r="4" spans="1:13" ht="23.4" x14ac:dyDescent="0.3">
      <c r="A4" s="5" t="s">
        <v>26</v>
      </c>
      <c r="B4" s="5"/>
      <c r="C4" s="5"/>
      <c r="D4" s="5"/>
      <c r="E4" s="5"/>
      <c r="F4" s="5"/>
    </row>
    <row r="5" spans="1:13" ht="23.4" x14ac:dyDescent="0.3">
      <c r="A5" s="5" t="s">
        <v>27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3" ht="23.4" x14ac:dyDescent="0.3">
      <c r="A6" s="5" t="s">
        <v>28</v>
      </c>
      <c r="B6" s="5"/>
      <c r="C6" s="5"/>
      <c r="D6" s="5"/>
      <c r="E6" s="5"/>
      <c r="F6" s="5"/>
    </row>
    <row r="7" spans="1:13" ht="23.4" x14ac:dyDescent="0.3">
      <c r="A7" s="5" t="s">
        <v>29</v>
      </c>
      <c r="B7" s="5"/>
      <c r="C7" s="5"/>
      <c r="D7" s="5"/>
      <c r="E7" s="5"/>
      <c r="F7" s="5"/>
    </row>
    <row r="8" spans="1:13" ht="23.4" x14ac:dyDescent="0.3">
      <c r="A8" s="5" t="s">
        <v>30</v>
      </c>
      <c r="B8" s="5"/>
      <c r="C8" s="5"/>
      <c r="D8" s="5"/>
      <c r="E8" s="5"/>
      <c r="F8" s="5"/>
      <c r="H8" s="5"/>
      <c r="I8" s="5"/>
      <c r="J8" s="5"/>
      <c r="K8" s="5"/>
      <c r="L8" s="5"/>
      <c r="M8" s="5"/>
    </row>
    <row r="9" spans="1:13" ht="23.4" x14ac:dyDescent="0.3">
      <c r="A9" s="5" t="s">
        <v>31</v>
      </c>
      <c r="B9" s="5"/>
      <c r="C9" s="5"/>
      <c r="D9" s="5"/>
      <c r="E9" s="5"/>
      <c r="F9" s="5"/>
    </row>
    <row r="10" spans="1:13" ht="23.4" x14ac:dyDescent="0.3">
      <c r="A10" s="5" t="s">
        <v>32</v>
      </c>
      <c r="B10" s="5"/>
      <c r="C10" s="5"/>
      <c r="D10" s="5"/>
      <c r="E10" s="5"/>
      <c r="F10" s="5"/>
    </row>
    <row r="14" spans="1:13" ht="21" x14ac:dyDescent="0.4">
      <c r="A14" s="4" t="s">
        <v>33</v>
      </c>
    </row>
    <row r="16" spans="1:13" ht="21" x14ac:dyDescent="0.4">
      <c r="A16" s="1" t="s">
        <v>0</v>
      </c>
      <c r="B16" s="1" t="s">
        <v>22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</row>
    <row r="17" spans="1:7" ht="21" x14ac:dyDescent="0.4">
      <c r="A17" s="2">
        <v>101</v>
      </c>
      <c r="B17" s="2" t="s">
        <v>6</v>
      </c>
      <c r="C17" s="2" t="s">
        <v>7</v>
      </c>
      <c r="D17" s="2">
        <v>5</v>
      </c>
      <c r="E17" s="2">
        <v>20</v>
      </c>
      <c r="F17" s="2" t="s">
        <v>8</v>
      </c>
      <c r="G17" s="3">
        <v>45293</v>
      </c>
    </row>
    <row r="18" spans="1:7" ht="21" x14ac:dyDescent="0.4">
      <c r="A18" s="2">
        <v>102</v>
      </c>
      <c r="B18" s="2" t="s">
        <v>9</v>
      </c>
      <c r="C18" s="2" t="s">
        <v>10</v>
      </c>
      <c r="D18" s="2">
        <v>3</v>
      </c>
      <c r="E18" s="2">
        <v>30</v>
      </c>
      <c r="F18" s="2" t="s">
        <v>11</v>
      </c>
      <c r="G18" s="3">
        <v>45293</v>
      </c>
    </row>
    <row r="19" spans="1:7" ht="21" x14ac:dyDescent="0.4">
      <c r="A19" s="2">
        <v>103</v>
      </c>
      <c r="B19" s="2" t="s">
        <v>12</v>
      </c>
      <c r="C19" s="2" t="s">
        <v>13</v>
      </c>
      <c r="D19" s="2">
        <v>8</v>
      </c>
      <c r="E19" s="2">
        <v>45</v>
      </c>
      <c r="F19" s="2" t="s">
        <v>14</v>
      </c>
      <c r="G19" s="3">
        <v>45324</v>
      </c>
    </row>
    <row r="20" spans="1:7" ht="21" x14ac:dyDescent="0.4">
      <c r="A20" s="2">
        <v>104</v>
      </c>
      <c r="B20" s="2" t="s">
        <v>15</v>
      </c>
      <c r="C20" s="2" t="s">
        <v>16</v>
      </c>
      <c r="D20" s="2">
        <v>2</v>
      </c>
      <c r="E20" s="2">
        <v>25</v>
      </c>
      <c r="F20" s="2" t="s">
        <v>8</v>
      </c>
      <c r="G20" s="3">
        <v>45324</v>
      </c>
    </row>
    <row r="21" spans="1:7" ht="21" x14ac:dyDescent="0.4">
      <c r="A21" s="2">
        <v>105</v>
      </c>
      <c r="B21" s="2" t="s">
        <v>17</v>
      </c>
      <c r="C21" s="2" t="s">
        <v>7</v>
      </c>
      <c r="D21" s="2">
        <v>10</v>
      </c>
      <c r="E21" s="2">
        <v>20</v>
      </c>
      <c r="F21" s="2" t="s">
        <v>18</v>
      </c>
      <c r="G21" s="3">
        <v>45353</v>
      </c>
    </row>
    <row r="22" spans="1:7" ht="21" x14ac:dyDescent="0.4">
      <c r="A22" s="2">
        <v>106</v>
      </c>
      <c r="B22" s="2" t="s">
        <v>19</v>
      </c>
      <c r="C22" s="2" t="s">
        <v>10</v>
      </c>
      <c r="D22" s="2">
        <v>7</v>
      </c>
      <c r="E22" s="2">
        <v>30</v>
      </c>
      <c r="F22" s="2" t="s">
        <v>11</v>
      </c>
      <c r="G22" s="3">
        <v>45353</v>
      </c>
    </row>
    <row r="23" spans="1:7" ht="21" x14ac:dyDescent="0.4">
      <c r="A23" s="2">
        <v>107</v>
      </c>
      <c r="B23" s="2" t="s">
        <v>20</v>
      </c>
      <c r="C23" s="2" t="s">
        <v>13</v>
      </c>
      <c r="D23" s="2">
        <v>3</v>
      </c>
      <c r="E23" s="2">
        <v>45</v>
      </c>
      <c r="F23" s="2" t="s">
        <v>18</v>
      </c>
      <c r="G23" s="3">
        <v>45384</v>
      </c>
    </row>
    <row r="24" spans="1:7" ht="21" x14ac:dyDescent="0.4">
      <c r="A24" s="2">
        <v>108</v>
      </c>
      <c r="B24" s="2" t="s">
        <v>21</v>
      </c>
      <c r="C24" s="2" t="s">
        <v>16</v>
      </c>
      <c r="D24" s="2">
        <v>6</v>
      </c>
      <c r="E24" s="2">
        <v>25</v>
      </c>
      <c r="F24" s="2" t="s">
        <v>8</v>
      </c>
      <c r="G24" s="3">
        <v>45384</v>
      </c>
    </row>
  </sheetData>
  <mergeCells count="12">
    <mergeCell ref="A10:F10"/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H8:M8"/>
    <mergeCell ref="G5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899D-D8AA-4390-A2B2-53E218F80B9A}">
  <dimension ref="A1:L19"/>
  <sheetViews>
    <sheetView workbookViewId="0">
      <selection activeCell="A3" sqref="A3:C6"/>
    </sheetView>
  </sheetViews>
  <sheetFormatPr defaultRowHeight="14.4" x14ac:dyDescent="0.3"/>
  <cols>
    <col min="3" max="3" width="11" bestFit="1" customWidth="1"/>
    <col min="4" max="4" width="21.77734375" bestFit="1" customWidth="1"/>
    <col min="5" max="5" width="14" bestFit="1" customWidth="1"/>
    <col min="6" max="6" width="11.88671875" bestFit="1" customWidth="1"/>
    <col min="9" max="9" width="15.5546875" bestFit="1" customWidth="1"/>
    <col min="10" max="10" width="17.88671875" bestFit="1" customWidth="1"/>
    <col min="11" max="11" width="10.21875" bestFit="1" customWidth="1"/>
  </cols>
  <sheetData>
    <row r="1" spans="1:12" ht="24" thickBot="1" x14ac:dyDescent="0.35">
      <c r="G1" s="6" t="s">
        <v>23</v>
      </c>
      <c r="H1" s="7"/>
      <c r="I1" s="7"/>
      <c r="J1" s="7"/>
      <c r="K1" s="7"/>
      <c r="L1" s="8"/>
    </row>
    <row r="2" spans="1:12" ht="15" thickBot="1" x14ac:dyDescent="0.35"/>
    <row r="3" spans="1:12" ht="21.6" thickBot="1" x14ac:dyDescent="0.45">
      <c r="A3" s="9" t="s">
        <v>34</v>
      </c>
      <c r="B3" s="10"/>
      <c r="C3" s="11"/>
    </row>
    <row r="5" spans="1:12" ht="15" thickBot="1" x14ac:dyDescent="0.35"/>
    <row r="6" spans="1:12" ht="21.6" thickBot="1" x14ac:dyDescent="0.45">
      <c r="A6" s="13" t="s">
        <v>35</v>
      </c>
      <c r="B6" s="14"/>
    </row>
    <row r="10" spans="1:12" ht="21" x14ac:dyDescent="0.4">
      <c r="C10" s="1" t="s">
        <v>0</v>
      </c>
      <c r="D10" s="1" t="s">
        <v>22</v>
      </c>
      <c r="E10" s="1" t="s">
        <v>1</v>
      </c>
      <c r="F10" s="1" t="s">
        <v>2</v>
      </c>
      <c r="G10" s="1" t="s">
        <v>3</v>
      </c>
      <c r="H10" s="1" t="s">
        <v>4</v>
      </c>
      <c r="I10" s="1" t="s">
        <v>5</v>
      </c>
      <c r="J10" s="15" t="s">
        <v>36</v>
      </c>
    </row>
    <row r="11" spans="1:12" ht="21" x14ac:dyDescent="0.4">
      <c r="C11" s="2">
        <v>101</v>
      </c>
      <c r="D11" s="2" t="s">
        <v>6</v>
      </c>
      <c r="E11" s="2" t="s">
        <v>7</v>
      </c>
      <c r="F11" s="2">
        <v>5</v>
      </c>
      <c r="G11" s="2">
        <v>20</v>
      </c>
      <c r="H11" s="2" t="s">
        <v>8</v>
      </c>
      <c r="I11" s="3">
        <v>45293</v>
      </c>
      <c r="J11" s="16" cm="1">
        <f t="array" ref="J11:J18">F11:F18*G11:G18</f>
        <v>100</v>
      </c>
    </row>
    <row r="12" spans="1:12" ht="21" x14ac:dyDescent="0.4">
      <c r="C12" s="2">
        <v>102</v>
      </c>
      <c r="D12" s="2" t="s">
        <v>9</v>
      </c>
      <c r="E12" s="2" t="s">
        <v>10</v>
      </c>
      <c r="F12" s="2">
        <v>3</v>
      </c>
      <c r="G12" s="2">
        <v>30</v>
      </c>
      <c r="H12" s="2" t="s">
        <v>11</v>
      </c>
      <c r="I12" s="3">
        <v>45293</v>
      </c>
      <c r="J12" s="16">
        <v>90</v>
      </c>
    </row>
    <row r="13" spans="1:12" ht="21" x14ac:dyDescent="0.4">
      <c r="C13" s="2">
        <v>103</v>
      </c>
      <c r="D13" s="2" t="s">
        <v>12</v>
      </c>
      <c r="E13" s="2" t="s">
        <v>13</v>
      </c>
      <c r="F13" s="2">
        <v>8</v>
      </c>
      <c r="G13" s="2">
        <v>45</v>
      </c>
      <c r="H13" s="2" t="s">
        <v>14</v>
      </c>
      <c r="I13" s="3">
        <v>45324</v>
      </c>
      <c r="J13" s="16">
        <v>360</v>
      </c>
    </row>
    <row r="14" spans="1:12" ht="21" x14ac:dyDescent="0.4">
      <c r="C14" s="2">
        <v>104</v>
      </c>
      <c r="D14" s="2" t="s">
        <v>15</v>
      </c>
      <c r="E14" s="2" t="s">
        <v>16</v>
      </c>
      <c r="F14" s="2">
        <v>2</v>
      </c>
      <c r="G14" s="2">
        <v>25</v>
      </c>
      <c r="H14" s="2" t="s">
        <v>8</v>
      </c>
      <c r="I14" s="3">
        <v>45324</v>
      </c>
      <c r="J14" s="16">
        <v>50</v>
      </c>
    </row>
    <row r="15" spans="1:12" ht="21" x14ac:dyDescent="0.4">
      <c r="C15" s="2">
        <v>105</v>
      </c>
      <c r="D15" s="2" t="s">
        <v>17</v>
      </c>
      <c r="E15" s="2" t="s">
        <v>7</v>
      </c>
      <c r="F15" s="2">
        <v>10</v>
      </c>
      <c r="G15" s="2">
        <v>20</v>
      </c>
      <c r="H15" s="2" t="s">
        <v>18</v>
      </c>
      <c r="I15" s="3">
        <v>45353</v>
      </c>
      <c r="J15" s="16">
        <v>200</v>
      </c>
    </row>
    <row r="16" spans="1:12" ht="21" x14ac:dyDescent="0.4">
      <c r="C16" s="2">
        <v>106</v>
      </c>
      <c r="D16" s="2" t="s">
        <v>19</v>
      </c>
      <c r="E16" s="2" t="s">
        <v>10</v>
      </c>
      <c r="F16" s="2">
        <v>7</v>
      </c>
      <c r="G16" s="2">
        <v>30</v>
      </c>
      <c r="H16" s="2" t="s">
        <v>11</v>
      </c>
      <c r="I16" s="3">
        <v>45353</v>
      </c>
      <c r="J16" s="16">
        <v>210</v>
      </c>
    </row>
    <row r="17" spans="3:11" ht="21" x14ac:dyDescent="0.4">
      <c r="C17" s="2">
        <v>107</v>
      </c>
      <c r="D17" s="2" t="s">
        <v>20</v>
      </c>
      <c r="E17" s="2" t="s">
        <v>13</v>
      </c>
      <c r="F17" s="2">
        <v>3</v>
      </c>
      <c r="G17" s="2">
        <v>45</v>
      </c>
      <c r="H17" s="2" t="s">
        <v>18</v>
      </c>
      <c r="I17" s="3">
        <v>45384</v>
      </c>
      <c r="J17" s="16">
        <v>135</v>
      </c>
    </row>
    <row r="18" spans="3:11" ht="21" x14ac:dyDescent="0.4">
      <c r="C18" s="2">
        <v>108</v>
      </c>
      <c r="D18" s="2" t="s">
        <v>21</v>
      </c>
      <c r="E18" s="2" t="s">
        <v>16</v>
      </c>
      <c r="F18" s="2">
        <v>6</v>
      </c>
      <c r="G18" s="2">
        <v>25</v>
      </c>
      <c r="H18" s="2" t="s">
        <v>8</v>
      </c>
      <c r="I18" s="3">
        <v>45384</v>
      </c>
      <c r="J18" s="16">
        <v>150</v>
      </c>
    </row>
    <row r="19" spans="3:11" x14ac:dyDescent="0.3">
      <c r="J19" s="17">
        <f>SUM(_xlfn.ANCHORARRAY(J11))</f>
        <v>1295</v>
      </c>
      <c r="K19" s="17" t="s">
        <v>37</v>
      </c>
    </row>
  </sheetData>
  <mergeCells count="2">
    <mergeCell ref="G1:L1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07B5-E2B5-4EDB-AAD2-45F4E80EEB0F}">
  <dimension ref="A1:L19"/>
  <sheetViews>
    <sheetView zoomScale="89" zoomScaleNormal="89" workbookViewId="0">
      <selection activeCell="G2" sqref="G2:L2"/>
    </sheetView>
  </sheetViews>
  <sheetFormatPr defaultRowHeight="14.4" x14ac:dyDescent="0.3"/>
  <cols>
    <col min="2" max="2" width="11" bestFit="1" customWidth="1"/>
    <col min="3" max="3" width="21.77734375" bestFit="1" customWidth="1"/>
    <col min="4" max="4" width="11" bestFit="1" customWidth="1"/>
    <col min="5" max="5" width="11.88671875" bestFit="1" customWidth="1"/>
    <col min="6" max="6" width="7.6640625" bestFit="1" customWidth="1"/>
    <col min="7" max="7" width="13.44140625" bestFit="1" customWidth="1"/>
    <col min="8" max="8" width="15.5546875" bestFit="1" customWidth="1"/>
    <col min="12" max="12" width="24.5546875" bestFit="1" customWidth="1"/>
  </cols>
  <sheetData>
    <row r="1" spans="1:12" ht="15" thickBot="1" x14ac:dyDescent="0.35"/>
    <row r="2" spans="1:12" ht="24" thickBot="1" x14ac:dyDescent="0.35">
      <c r="G2" s="6" t="s">
        <v>24</v>
      </c>
      <c r="H2" s="7"/>
      <c r="I2" s="7"/>
      <c r="J2" s="7"/>
      <c r="K2" s="7"/>
      <c r="L2" s="8"/>
    </row>
    <row r="3" spans="1:12" ht="15" thickBot="1" x14ac:dyDescent="0.35"/>
    <row r="4" spans="1:12" ht="21.6" thickBot="1" x14ac:dyDescent="0.45">
      <c r="A4" s="9" t="s">
        <v>34</v>
      </c>
      <c r="B4" s="10"/>
      <c r="C4" s="11"/>
    </row>
    <row r="6" spans="1:12" ht="15" thickBot="1" x14ac:dyDescent="0.35"/>
    <row r="7" spans="1:12" ht="21.6" thickBot="1" x14ac:dyDescent="0.45">
      <c r="A7" s="13" t="s">
        <v>35</v>
      </c>
      <c r="B7" s="14"/>
    </row>
    <row r="10" spans="1:12" ht="21" x14ac:dyDescent="0.4">
      <c r="B10" s="18"/>
      <c r="C10" s="18"/>
      <c r="D10" s="18"/>
      <c r="E10" s="18"/>
      <c r="F10" s="18"/>
      <c r="G10" s="18"/>
      <c r="H10" s="18"/>
      <c r="L10" s="12" t="s">
        <v>38</v>
      </c>
    </row>
    <row r="11" spans="1:12" ht="63" x14ac:dyDescent="1.2">
      <c r="B11" s="19"/>
      <c r="C11" s="19"/>
      <c r="D11" s="19"/>
      <c r="E11" s="19"/>
      <c r="F11" s="19"/>
      <c r="G11" s="19"/>
      <c r="H11" s="21"/>
      <c r="L11" s="22">
        <f>SUMIF('Task 1 Solution'!H11:H18,'Task 1 Solution'!H11,_xlfn.ANCHORARRAY('Task 1 Solution'!J11))</f>
        <v>300</v>
      </c>
    </row>
    <row r="12" spans="1:12" ht="21" x14ac:dyDescent="0.4">
      <c r="B12" s="19"/>
      <c r="C12" s="19"/>
      <c r="D12" s="19"/>
      <c r="E12" s="19"/>
      <c r="F12" s="19"/>
      <c r="G12" s="19"/>
      <c r="H12" s="21"/>
    </row>
    <row r="13" spans="1:12" ht="21" x14ac:dyDescent="0.4">
      <c r="B13" s="19"/>
      <c r="C13" s="19"/>
      <c r="D13" s="19"/>
      <c r="E13" s="19"/>
      <c r="F13" s="19"/>
      <c r="G13" s="19"/>
      <c r="H13" s="21"/>
    </row>
    <row r="14" spans="1:12" ht="21" x14ac:dyDescent="0.4">
      <c r="B14" s="19"/>
      <c r="C14" s="19"/>
      <c r="D14" s="19"/>
      <c r="E14" s="19"/>
      <c r="F14" s="19"/>
      <c r="G14" s="19"/>
      <c r="H14" s="21"/>
    </row>
    <row r="15" spans="1:12" ht="21" x14ac:dyDescent="0.4">
      <c r="B15" s="19"/>
      <c r="C15" s="19"/>
      <c r="D15" s="19"/>
      <c r="E15" s="19"/>
      <c r="F15" s="19"/>
      <c r="G15" s="19"/>
      <c r="H15" s="21"/>
    </row>
    <row r="16" spans="1:12" ht="21" x14ac:dyDescent="0.4">
      <c r="B16" s="19"/>
      <c r="C16" s="19"/>
      <c r="D16" s="19"/>
      <c r="E16" s="19"/>
      <c r="F16" s="19"/>
      <c r="G16" s="19"/>
      <c r="H16" s="21"/>
    </row>
    <row r="17" spans="2:8" ht="21" x14ac:dyDescent="0.4">
      <c r="B17" s="19"/>
      <c r="C17" s="19"/>
      <c r="D17" s="19"/>
      <c r="E17" s="19"/>
      <c r="F17" s="19"/>
      <c r="G17" s="19"/>
      <c r="H17" s="21"/>
    </row>
    <row r="18" spans="2:8" ht="21" x14ac:dyDescent="0.4">
      <c r="B18" s="19"/>
      <c r="C18" s="19"/>
      <c r="D18" s="19"/>
      <c r="E18" s="19"/>
      <c r="F18" s="19"/>
      <c r="G18" s="19"/>
      <c r="H18" s="21"/>
    </row>
    <row r="19" spans="2:8" x14ac:dyDescent="0.3">
      <c r="B19" s="20"/>
      <c r="C19" s="20"/>
    </row>
  </sheetData>
  <mergeCells count="2">
    <mergeCell ref="G2:L2"/>
    <mergeCell ref="A4:C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D0B7-C88F-419E-9654-33AD74028EAA}">
  <dimension ref="B1:M17"/>
  <sheetViews>
    <sheetView workbookViewId="0">
      <selection activeCell="H3" sqref="H3"/>
    </sheetView>
  </sheetViews>
  <sheetFormatPr defaultRowHeight="14.4" x14ac:dyDescent="0.3"/>
  <cols>
    <col min="2" max="2" width="11.6640625" bestFit="1" customWidth="1"/>
    <col min="3" max="3" width="21.77734375" bestFit="1" customWidth="1"/>
    <col min="4" max="4" width="14" bestFit="1" customWidth="1"/>
    <col min="5" max="5" width="11.88671875" bestFit="1" customWidth="1"/>
    <col min="7" max="7" width="13.44140625" bestFit="1" customWidth="1"/>
    <col min="8" max="8" width="15.5546875" bestFit="1" customWidth="1"/>
    <col min="13" max="13" width="13.44140625" bestFit="1" customWidth="1"/>
  </cols>
  <sheetData>
    <row r="1" spans="2:13" ht="24" thickBot="1" x14ac:dyDescent="0.35">
      <c r="F1" s="6" t="s">
        <v>25</v>
      </c>
      <c r="G1" s="7"/>
      <c r="H1" s="7"/>
      <c r="I1" s="7"/>
      <c r="J1" s="7"/>
      <c r="K1" s="8"/>
    </row>
    <row r="2" spans="2:13" ht="15" thickBot="1" x14ac:dyDescent="0.35"/>
    <row r="3" spans="2:13" ht="21.6" thickBot="1" x14ac:dyDescent="0.45">
      <c r="B3" s="9" t="s">
        <v>34</v>
      </c>
      <c r="C3" s="10"/>
      <c r="D3" s="11"/>
    </row>
    <row r="5" spans="2:13" ht="15" thickBot="1" x14ac:dyDescent="0.35"/>
    <row r="6" spans="2:13" ht="21.6" thickBot="1" x14ac:dyDescent="0.45">
      <c r="B6" s="13" t="s">
        <v>35</v>
      </c>
      <c r="C6" s="14"/>
    </row>
    <row r="7" spans="2:13" x14ac:dyDescent="0.3">
      <c r="M7" s="24" t="s">
        <v>39</v>
      </c>
    </row>
    <row r="9" spans="2:13" ht="21" x14ac:dyDescent="0.4">
      <c r="B9" s="1" t="s">
        <v>0</v>
      </c>
      <c r="C9" s="1" t="s">
        <v>22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M9" s="23" t="str" cm="1">
        <f t="array" ref="M9:M12">_xlfn.UNIQUE(G10:G17)</f>
        <v>Delhi</v>
      </c>
    </row>
    <row r="10" spans="2:13" ht="21" x14ac:dyDescent="0.4">
      <c r="B10" s="2">
        <v>101</v>
      </c>
      <c r="C10" s="2" t="s">
        <v>6</v>
      </c>
      <c r="D10" s="2" t="s">
        <v>7</v>
      </c>
      <c r="E10" s="2">
        <v>5</v>
      </c>
      <c r="F10" s="2">
        <v>20</v>
      </c>
      <c r="G10" s="2" t="s">
        <v>8</v>
      </c>
      <c r="H10" s="3">
        <v>45293</v>
      </c>
      <c r="M10" s="23" t="str">
        <v>Mumbai</v>
      </c>
    </row>
    <row r="11" spans="2:13" ht="21" x14ac:dyDescent="0.4">
      <c r="B11" s="2">
        <v>102</v>
      </c>
      <c r="C11" s="2" t="s">
        <v>9</v>
      </c>
      <c r="D11" s="2" t="s">
        <v>10</v>
      </c>
      <c r="E11" s="2">
        <v>3</v>
      </c>
      <c r="F11" s="2">
        <v>30</v>
      </c>
      <c r="G11" s="2" t="s">
        <v>11</v>
      </c>
      <c r="H11" s="3">
        <v>45293</v>
      </c>
      <c r="M11" s="23" t="str">
        <v>Bangalore</v>
      </c>
    </row>
    <row r="12" spans="2:13" ht="21" x14ac:dyDescent="0.4">
      <c r="B12" s="2">
        <v>103</v>
      </c>
      <c r="C12" s="2" t="s">
        <v>12</v>
      </c>
      <c r="D12" s="2" t="s">
        <v>13</v>
      </c>
      <c r="E12" s="2">
        <v>8</v>
      </c>
      <c r="F12" s="2">
        <v>45</v>
      </c>
      <c r="G12" s="2" t="s">
        <v>14</v>
      </c>
      <c r="H12" s="3">
        <v>45324</v>
      </c>
      <c r="M12" s="23" t="str">
        <v>Chennai</v>
      </c>
    </row>
    <row r="13" spans="2:13" ht="21" x14ac:dyDescent="0.4">
      <c r="B13" s="2">
        <v>104</v>
      </c>
      <c r="C13" s="2" t="s">
        <v>15</v>
      </c>
      <c r="D13" s="2" t="s">
        <v>16</v>
      </c>
      <c r="E13" s="2">
        <v>2</v>
      </c>
      <c r="F13" s="2">
        <v>25</v>
      </c>
      <c r="G13" s="2" t="s">
        <v>8</v>
      </c>
      <c r="H13" s="3">
        <v>45324</v>
      </c>
    </row>
    <row r="14" spans="2:13" ht="21" x14ac:dyDescent="0.4">
      <c r="B14" s="2">
        <v>105</v>
      </c>
      <c r="C14" s="2" t="s">
        <v>17</v>
      </c>
      <c r="D14" s="2" t="s">
        <v>7</v>
      </c>
      <c r="E14" s="2">
        <v>10</v>
      </c>
      <c r="F14" s="2">
        <v>20</v>
      </c>
      <c r="G14" s="2" t="s">
        <v>18</v>
      </c>
      <c r="H14" s="3">
        <v>45353</v>
      </c>
    </row>
    <row r="15" spans="2:13" ht="21" x14ac:dyDescent="0.4">
      <c r="B15" s="2">
        <v>106</v>
      </c>
      <c r="C15" s="2" t="s">
        <v>19</v>
      </c>
      <c r="D15" s="2" t="s">
        <v>10</v>
      </c>
      <c r="E15" s="2">
        <v>7</v>
      </c>
      <c r="F15" s="2">
        <v>30</v>
      </c>
      <c r="G15" s="2" t="s">
        <v>11</v>
      </c>
      <c r="H15" s="3">
        <v>45353</v>
      </c>
    </row>
    <row r="16" spans="2:13" ht="21" x14ac:dyDescent="0.4">
      <c r="B16" s="2">
        <v>107</v>
      </c>
      <c r="C16" s="2" t="s">
        <v>20</v>
      </c>
      <c r="D16" s="2" t="s">
        <v>13</v>
      </c>
      <c r="E16" s="2">
        <v>3</v>
      </c>
      <c r="F16" s="2">
        <v>45</v>
      </c>
      <c r="G16" s="2" t="s">
        <v>18</v>
      </c>
      <c r="H16" s="3">
        <v>45384</v>
      </c>
    </row>
    <row r="17" spans="2:8" ht="21" x14ac:dyDescent="0.4">
      <c r="B17" s="2">
        <v>108</v>
      </c>
      <c r="C17" s="2" t="s">
        <v>21</v>
      </c>
      <c r="D17" s="2" t="s">
        <v>16</v>
      </c>
      <c r="E17" s="2">
        <v>6</v>
      </c>
      <c r="F17" s="2">
        <v>25</v>
      </c>
      <c r="G17" s="2" t="s">
        <v>8</v>
      </c>
      <c r="H17" s="3">
        <v>45384</v>
      </c>
    </row>
  </sheetData>
  <mergeCells count="2">
    <mergeCell ref="F1:K1"/>
    <mergeCell ref="B3:D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A61B-3239-4129-98EB-594AA93545FC}">
  <dimension ref="A2:P28"/>
  <sheetViews>
    <sheetView zoomScale="89" workbookViewId="0">
      <selection activeCell="A10" sqref="A10"/>
    </sheetView>
  </sheetViews>
  <sheetFormatPr defaultRowHeight="14.4" x14ac:dyDescent="0.3"/>
  <cols>
    <col min="1" max="1" width="7.33203125" bestFit="1" customWidth="1"/>
    <col min="2" max="2" width="14.21875" bestFit="1" customWidth="1"/>
    <col min="10" max="10" width="11" bestFit="1" customWidth="1"/>
    <col min="11" max="11" width="21.77734375" bestFit="1" customWidth="1"/>
    <col min="12" max="12" width="14" bestFit="1" customWidth="1"/>
    <col min="13" max="13" width="11.88671875" bestFit="1" customWidth="1"/>
    <col min="14" max="14" width="7.6640625" bestFit="1" customWidth="1"/>
    <col min="15" max="15" width="13.44140625" bestFit="1" customWidth="1"/>
    <col min="16" max="16" width="15.5546875" bestFit="1" customWidth="1"/>
  </cols>
  <sheetData>
    <row r="2" spans="1:16" ht="23.4" x14ac:dyDescent="0.45">
      <c r="F2" s="25" t="s">
        <v>26</v>
      </c>
      <c r="G2" s="25"/>
      <c r="H2" s="25"/>
      <c r="I2" s="25"/>
      <c r="J2" s="25"/>
      <c r="K2" s="25"/>
    </row>
    <row r="3" spans="1:16" ht="15" thickBot="1" x14ac:dyDescent="0.35"/>
    <row r="4" spans="1:16" ht="21.6" thickBot="1" x14ac:dyDescent="0.45">
      <c r="B4" s="9" t="s">
        <v>34</v>
      </c>
      <c r="C4" s="10"/>
      <c r="D4" s="11"/>
    </row>
    <row r="6" spans="1:16" ht="15" thickBot="1" x14ac:dyDescent="0.35"/>
    <row r="7" spans="1:16" ht="21.6" thickBot="1" x14ac:dyDescent="0.45">
      <c r="B7" s="13" t="s">
        <v>35</v>
      </c>
      <c r="C7" s="14"/>
    </row>
    <row r="10" spans="1:16" ht="21" x14ac:dyDescent="0.4">
      <c r="A10" s="16" t="str" cm="1">
        <f t="array" ref="A10:G13">_xlfn.TAKE(_xlfn._xlws.SORT('Task 3 Solution'!B9:H17,4,-1),4)</f>
        <v>OrderID</v>
      </c>
      <c r="B10" s="16" t="str">
        <v>Customer Name</v>
      </c>
      <c r="C10" s="16" t="str">
        <v>Product</v>
      </c>
      <c r="D10" s="16" t="str">
        <v>Quantity</v>
      </c>
      <c r="E10" s="26" t="str">
        <v>Price</v>
      </c>
      <c r="F10" s="16" t="str">
        <v>City</v>
      </c>
      <c r="G10" s="16" t="str">
        <v>SalesDate</v>
      </c>
      <c r="J10" s="1" t="s">
        <v>0</v>
      </c>
      <c r="K10" s="1" t="s">
        <v>22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</row>
    <row r="11" spans="1:16" ht="21" x14ac:dyDescent="0.4">
      <c r="A11">
        <v>105</v>
      </c>
      <c r="B11" t="str">
        <v>Satish Kumar</v>
      </c>
      <c r="C11" t="str">
        <v>Chips</v>
      </c>
      <c r="D11">
        <v>10</v>
      </c>
      <c r="E11">
        <v>20</v>
      </c>
      <c r="F11" t="str">
        <v>Chennai</v>
      </c>
      <c r="G11">
        <v>45353</v>
      </c>
      <c r="J11" s="2">
        <v>101</v>
      </c>
      <c r="K11" s="2" t="s">
        <v>6</v>
      </c>
      <c r="L11" s="2" t="s">
        <v>7</v>
      </c>
      <c r="M11" s="2">
        <v>5</v>
      </c>
      <c r="N11" s="2">
        <v>20</v>
      </c>
      <c r="O11" s="2" t="s">
        <v>8</v>
      </c>
      <c r="P11" s="3">
        <v>45293</v>
      </c>
    </row>
    <row r="12" spans="1:16" ht="21" x14ac:dyDescent="0.4">
      <c r="A12">
        <v>103</v>
      </c>
      <c r="B12" t="str">
        <v>Amit Yadav</v>
      </c>
      <c r="C12" t="str">
        <v>Cold Drink</v>
      </c>
      <c r="D12">
        <v>8</v>
      </c>
      <c r="E12">
        <v>45</v>
      </c>
      <c r="F12" t="str">
        <v>Bangalore</v>
      </c>
      <c r="G12">
        <v>45324</v>
      </c>
      <c r="J12" s="2">
        <v>102</v>
      </c>
      <c r="K12" s="2" t="s">
        <v>9</v>
      </c>
      <c r="L12" s="2" t="s">
        <v>10</v>
      </c>
      <c r="M12" s="2">
        <v>3</v>
      </c>
      <c r="N12" s="2">
        <v>30</v>
      </c>
      <c r="O12" s="2" t="s">
        <v>11</v>
      </c>
      <c r="P12" s="3">
        <v>45293</v>
      </c>
    </row>
    <row r="13" spans="1:16" ht="21" x14ac:dyDescent="0.4">
      <c r="A13">
        <v>106</v>
      </c>
      <c r="B13" t="str">
        <v>Anita Devi</v>
      </c>
      <c r="C13" t="str">
        <v>Biscuits</v>
      </c>
      <c r="D13">
        <v>7</v>
      </c>
      <c r="E13">
        <v>30</v>
      </c>
      <c r="F13" t="str">
        <v>Mumbai</v>
      </c>
      <c r="G13">
        <v>45353</v>
      </c>
      <c r="J13" s="2">
        <v>103</v>
      </c>
      <c r="K13" s="2" t="s">
        <v>12</v>
      </c>
      <c r="L13" s="2" t="s">
        <v>13</v>
      </c>
      <c r="M13" s="2">
        <v>8</v>
      </c>
      <c r="N13" s="2">
        <v>45</v>
      </c>
      <c r="O13" s="2" t="s">
        <v>14</v>
      </c>
      <c r="P13" s="3">
        <v>45324</v>
      </c>
    </row>
    <row r="14" spans="1:16" ht="21" x14ac:dyDescent="0.4">
      <c r="J14" s="2">
        <v>104</v>
      </c>
      <c r="K14" s="2" t="s">
        <v>15</v>
      </c>
      <c r="L14" s="2" t="s">
        <v>16</v>
      </c>
      <c r="M14" s="2">
        <v>2</v>
      </c>
      <c r="N14" s="2">
        <v>25</v>
      </c>
      <c r="O14" s="2" t="s">
        <v>8</v>
      </c>
      <c r="P14" s="3">
        <v>45324</v>
      </c>
    </row>
    <row r="15" spans="1:16" ht="21" x14ac:dyDescent="0.4">
      <c r="J15" s="2">
        <v>105</v>
      </c>
      <c r="K15" s="2" t="s">
        <v>17</v>
      </c>
      <c r="L15" s="2" t="s">
        <v>7</v>
      </c>
      <c r="M15" s="2">
        <v>10</v>
      </c>
      <c r="N15" s="2">
        <v>20</v>
      </c>
      <c r="O15" s="2" t="s">
        <v>18</v>
      </c>
      <c r="P15" s="3">
        <v>45353</v>
      </c>
    </row>
    <row r="16" spans="1:16" ht="21" x14ac:dyDescent="0.4">
      <c r="J16" s="2">
        <v>106</v>
      </c>
      <c r="K16" s="2" t="s">
        <v>19</v>
      </c>
      <c r="L16" s="2" t="s">
        <v>10</v>
      </c>
      <c r="M16" s="2">
        <v>7</v>
      </c>
      <c r="N16" s="2">
        <v>30</v>
      </c>
      <c r="O16" s="2" t="s">
        <v>11</v>
      </c>
      <c r="P16" s="3">
        <v>45353</v>
      </c>
    </row>
    <row r="17" spans="4:16" ht="21" x14ac:dyDescent="0.4">
      <c r="J17" s="2">
        <v>107</v>
      </c>
      <c r="K17" s="2" t="s">
        <v>20</v>
      </c>
      <c r="L17" s="2" t="s">
        <v>13</v>
      </c>
      <c r="M17" s="2">
        <v>3</v>
      </c>
      <c r="N17" s="2">
        <v>45</v>
      </c>
      <c r="O17" s="2" t="s">
        <v>18</v>
      </c>
      <c r="P17" s="3">
        <v>45384</v>
      </c>
    </row>
    <row r="18" spans="4:16" ht="21" x14ac:dyDescent="0.4">
      <c r="J18" s="2">
        <v>108</v>
      </c>
      <c r="K18" s="2" t="s">
        <v>21</v>
      </c>
      <c r="L18" s="2" t="s">
        <v>16</v>
      </c>
      <c r="M18" s="2">
        <v>6</v>
      </c>
      <c r="N18" s="2">
        <v>25</v>
      </c>
      <c r="O18" s="2" t="s">
        <v>8</v>
      </c>
      <c r="P18" s="3">
        <v>45384</v>
      </c>
    </row>
    <row r="19" spans="4:16" ht="15" thickBot="1" x14ac:dyDescent="0.35"/>
    <row r="20" spans="4:16" ht="21.6" thickBot="1" x14ac:dyDescent="0.45">
      <c r="D20" s="9" t="s">
        <v>40</v>
      </c>
      <c r="E20" s="10"/>
      <c r="F20" s="11"/>
    </row>
    <row r="21" spans="4:16" ht="21" x14ac:dyDescent="0.4">
      <c r="J21" s="16" cm="1">
        <f t="array" ref="J21:P28">_xlfn._xlws.SORT(J11:P18,4,-1)</f>
        <v>105</v>
      </c>
      <c r="K21" s="16" t="str">
        <v>Satish Kumar</v>
      </c>
      <c r="L21" s="16" t="str">
        <v>Chips</v>
      </c>
      <c r="M21" s="16">
        <v>10</v>
      </c>
      <c r="N21" s="16">
        <v>20</v>
      </c>
      <c r="O21" s="16" t="str">
        <v>Chennai</v>
      </c>
      <c r="P21" s="27">
        <v>45353</v>
      </c>
    </row>
    <row r="22" spans="4:16" ht="21" x14ac:dyDescent="0.4">
      <c r="J22" s="16">
        <v>103</v>
      </c>
      <c r="K22" s="16" t="str">
        <v>Amit Yadav</v>
      </c>
      <c r="L22" s="16" t="str">
        <v>Cold Drink</v>
      </c>
      <c r="M22" s="16">
        <v>8</v>
      </c>
      <c r="N22" s="16">
        <v>45</v>
      </c>
      <c r="O22" s="16" t="str">
        <v>Bangalore</v>
      </c>
      <c r="P22" s="27">
        <v>45324</v>
      </c>
    </row>
    <row r="23" spans="4:16" ht="21" x14ac:dyDescent="0.4">
      <c r="J23" s="16">
        <v>106</v>
      </c>
      <c r="K23" s="16" t="str">
        <v>Anita Devi</v>
      </c>
      <c r="L23" s="16" t="str">
        <v>Biscuits</v>
      </c>
      <c r="M23" s="16">
        <v>7</v>
      </c>
      <c r="N23" s="16">
        <v>30</v>
      </c>
      <c r="O23" s="16" t="str">
        <v>Mumbai</v>
      </c>
      <c r="P23" s="27">
        <v>45353</v>
      </c>
    </row>
    <row r="24" spans="4:16" ht="21" x14ac:dyDescent="0.4">
      <c r="J24">
        <v>108</v>
      </c>
      <c r="K24" t="str">
        <v>Neha Gupta</v>
      </c>
      <c r="L24" t="str">
        <v>Bread</v>
      </c>
      <c r="M24">
        <v>6</v>
      </c>
      <c r="N24">
        <v>25</v>
      </c>
      <c r="O24" t="str">
        <v>Delhi</v>
      </c>
      <c r="P24" s="28">
        <v>45384</v>
      </c>
    </row>
    <row r="25" spans="4:16" ht="21" x14ac:dyDescent="0.4">
      <c r="J25">
        <v>101</v>
      </c>
      <c r="K25" t="str">
        <v>Ravi Sharma</v>
      </c>
      <c r="L25" t="str">
        <v>Chips</v>
      </c>
      <c r="M25">
        <v>5</v>
      </c>
      <c r="N25">
        <v>20</v>
      </c>
      <c r="O25" t="str">
        <v>Delhi</v>
      </c>
      <c r="P25" s="28">
        <v>45293</v>
      </c>
    </row>
    <row r="26" spans="4:16" ht="21" x14ac:dyDescent="0.4">
      <c r="J26">
        <v>102</v>
      </c>
      <c r="K26" t="str">
        <v>Suman Das</v>
      </c>
      <c r="L26" t="str">
        <v>Biscuits</v>
      </c>
      <c r="M26">
        <v>3</v>
      </c>
      <c r="N26">
        <v>30</v>
      </c>
      <c r="O26" t="str">
        <v>Mumbai</v>
      </c>
      <c r="P26" s="28">
        <v>45293</v>
      </c>
    </row>
    <row r="27" spans="4:16" ht="21" x14ac:dyDescent="0.4">
      <c r="J27">
        <v>107</v>
      </c>
      <c r="K27" t="str">
        <v>Rohit Singh</v>
      </c>
      <c r="L27" t="str">
        <v>Cold Drink</v>
      </c>
      <c r="M27">
        <v>3</v>
      </c>
      <c r="N27">
        <v>45</v>
      </c>
      <c r="O27" t="str">
        <v>Chennai</v>
      </c>
      <c r="P27" s="28">
        <v>45384</v>
      </c>
    </row>
    <row r="28" spans="4:16" ht="21" x14ac:dyDescent="0.4">
      <c r="J28">
        <v>104</v>
      </c>
      <c r="K28" t="str">
        <v>Riya Jain</v>
      </c>
      <c r="L28" t="str">
        <v>Bread</v>
      </c>
      <c r="M28">
        <v>2</v>
      </c>
      <c r="N28">
        <v>25</v>
      </c>
      <c r="O28" t="str">
        <v>Delhi</v>
      </c>
      <c r="P28" s="28">
        <v>45324</v>
      </c>
    </row>
  </sheetData>
  <mergeCells count="3">
    <mergeCell ref="F2:K2"/>
    <mergeCell ref="B4:D4"/>
    <mergeCell ref="D20:F20"/>
  </mergeCells>
  <conditionalFormatting sqref="F11:F14">
    <cfRule type="top10" dxfId="1" priority="1" rank="3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D693-D09B-4445-BEA9-52F980F03C9D}">
  <dimension ref="B2:M13"/>
  <sheetViews>
    <sheetView workbookViewId="0">
      <selection activeCell="B4" sqref="B4:D7"/>
    </sheetView>
  </sheetViews>
  <sheetFormatPr defaultRowHeight="14.4" x14ac:dyDescent="0.3"/>
  <cols>
    <col min="11" max="11" width="12.21875" customWidth="1"/>
  </cols>
  <sheetData>
    <row r="2" spans="2:13" ht="23.4" x14ac:dyDescent="0.3">
      <c r="F2" s="29" t="s">
        <v>27</v>
      </c>
      <c r="G2" s="30"/>
      <c r="H2" s="30"/>
      <c r="I2" s="30"/>
      <c r="J2" s="30"/>
      <c r="K2" s="30"/>
      <c r="L2" s="30"/>
      <c r="M2" s="30"/>
    </row>
    <row r="3" spans="2:13" ht="15" thickBot="1" x14ac:dyDescent="0.35"/>
    <row r="4" spans="2:13" ht="21.6" thickBot="1" x14ac:dyDescent="0.45">
      <c r="B4" s="9" t="s">
        <v>34</v>
      </c>
      <c r="C4" s="10"/>
      <c r="D4" s="11"/>
    </row>
    <row r="6" spans="2:13" ht="15" thickBot="1" x14ac:dyDescent="0.35"/>
    <row r="7" spans="2:13" ht="21.6" thickBot="1" x14ac:dyDescent="0.45">
      <c r="B7" s="13" t="s">
        <v>35</v>
      </c>
      <c r="C7" s="14"/>
    </row>
    <row r="10" spans="2:13" x14ac:dyDescent="0.3">
      <c r="B10" s="31" t="str" cm="1">
        <f t="array" ref="B10:B13">_xlfn.UNIQUE('Task 4 Solution'!L11:L18)</f>
        <v>Chips</v>
      </c>
      <c r="C10" s="31">
        <f>SUMIFS('Task 4 Solution'!M11:M18,'Task 4 Solution'!L11:L18,'Task 5 Solution'!B10)</f>
        <v>15</v>
      </c>
    </row>
    <row r="11" spans="2:13" x14ac:dyDescent="0.3">
      <c r="B11" s="31" t="str">
        <v>Biscuits</v>
      </c>
      <c r="C11" s="31">
        <f>SUMIFS('Task 4 Solution'!M12:M19,'Task 4 Solution'!L12:L19,'Task 5 Solution'!B11)</f>
        <v>10</v>
      </c>
    </row>
    <row r="12" spans="2:13" x14ac:dyDescent="0.3">
      <c r="B12" s="31" t="str">
        <v>Cold Drink</v>
      </c>
      <c r="C12" s="31">
        <f>SUMIFS('Task 4 Solution'!M13:M20,'Task 4 Solution'!L13:L20,'Task 5 Solution'!B12)</f>
        <v>11</v>
      </c>
    </row>
    <row r="13" spans="2:13" x14ac:dyDescent="0.3">
      <c r="B13" s="31" t="str">
        <v>Bread</v>
      </c>
      <c r="C13" s="31">
        <f>SUMIFS('Task 4 Solution'!M14:M21,'Task 4 Solution'!L14:L21,'Task 5 Solution'!B13)</f>
        <v>8</v>
      </c>
    </row>
  </sheetData>
  <mergeCells count="2">
    <mergeCell ref="F2:M2"/>
    <mergeCell ref="B4:D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4E7F-B67E-4007-9862-0A8099959502}">
  <dimension ref="A1:L18"/>
  <sheetViews>
    <sheetView workbookViewId="0">
      <selection activeCell="L11" sqref="L11"/>
    </sheetView>
  </sheetViews>
  <sheetFormatPr defaultRowHeight="14.4" x14ac:dyDescent="0.3"/>
  <cols>
    <col min="1" max="1" width="11" bestFit="1" customWidth="1"/>
    <col min="2" max="2" width="21.77734375" bestFit="1" customWidth="1"/>
    <col min="3" max="3" width="14" bestFit="1" customWidth="1"/>
    <col min="4" max="4" width="11.88671875" bestFit="1" customWidth="1"/>
    <col min="6" max="6" width="13.44140625" bestFit="1" customWidth="1"/>
    <col min="7" max="7" width="15.5546875" bestFit="1" customWidth="1"/>
    <col min="12" max="12" width="9.77734375" bestFit="1" customWidth="1"/>
  </cols>
  <sheetData>
    <row r="1" spans="1:12" ht="23.4" x14ac:dyDescent="0.3">
      <c r="F1" s="5" t="s">
        <v>28</v>
      </c>
      <c r="G1" s="5"/>
      <c r="H1" s="5"/>
      <c r="I1" s="5"/>
      <c r="J1" s="5"/>
      <c r="K1" s="5"/>
    </row>
    <row r="2" spans="1:12" ht="15" thickBot="1" x14ac:dyDescent="0.35"/>
    <row r="3" spans="1:12" ht="21.6" thickBot="1" x14ac:dyDescent="0.45">
      <c r="B3" s="9" t="s">
        <v>34</v>
      </c>
      <c r="C3" s="10"/>
      <c r="D3" s="11"/>
    </row>
    <row r="5" spans="1:12" ht="15" thickBot="1" x14ac:dyDescent="0.35"/>
    <row r="6" spans="1:12" ht="21.6" thickBot="1" x14ac:dyDescent="0.45">
      <c r="B6" s="13" t="s">
        <v>35</v>
      </c>
      <c r="C6" s="14"/>
    </row>
    <row r="8" spans="1:12" ht="21" x14ac:dyDescent="0.4">
      <c r="A8" s="1" t="s">
        <v>0</v>
      </c>
      <c r="B8" s="1" t="s">
        <v>22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L8" s="31" t="s">
        <v>43</v>
      </c>
    </row>
    <row r="9" spans="1:12" ht="21" x14ac:dyDescent="0.4">
      <c r="A9" s="2">
        <v>101</v>
      </c>
      <c r="B9" s="2" t="s">
        <v>6</v>
      </c>
      <c r="C9" s="2" t="s">
        <v>7</v>
      </c>
      <c r="D9" s="2">
        <v>5</v>
      </c>
      <c r="E9" s="2">
        <v>20</v>
      </c>
      <c r="F9" s="2" t="s">
        <v>8</v>
      </c>
      <c r="G9" s="3">
        <v>45293</v>
      </c>
      <c r="L9" s="31" t="str">
        <f>LEFT(B9,SEARCH(" ",B9)-1)</f>
        <v>Ravi</v>
      </c>
    </row>
    <row r="10" spans="1:12" ht="21" x14ac:dyDescent="0.4">
      <c r="A10" s="2">
        <v>102</v>
      </c>
      <c r="B10" s="2" t="s">
        <v>9</v>
      </c>
      <c r="C10" s="2" t="s">
        <v>10</v>
      </c>
      <c r="D10" s="2">
        <v>3</v>
      </c>
      <c r="E10" s="2">
        <v>30</v>
      </c>
      <c r="F10" s="2" t="s">
        <v>11</v>
      </c>
      <c r="G10" s="3">
        <v>45293</v>
      </c>
      <c r="L10" s="31" t="str">
        <f t="shared" ref="L10:L16" si="0">LEFT(B10,SEARCH(" ",B10)-1)</f>
        <v>Suman</v>
      </c>
    </row>
    <row r="11" spans="1:12" ht="21" x14ac:dyDescent="0.4">
      <c r="A11" s="2">
        <v>103</v>
      </c>
      <c r="B11" s="2" t="s">
        <v>12</v>
      </c>
      <c r="C11" s="2" t="s">
        <v>13</v>
      </c>
      <c r="D11" s="2">
        <v>8</v>
      </c>
      <c r="E11" s="2">
        <v>45</v>
      </c>
      <c r="F11" s="2" t="s">
        <v>14</v>
      </c>
      <c r="G11" s="3">
        <v>45324</v>
      </c>
      <c r="L11" s="31" t="str">
        <f t="shared" si="0"/>
        <v>Amit</v>
      </c>
    </row>
    <row r="12" spans="1:12" ht="21" x14ac:dyDescent="0.4">
      <c r="A12" s="2">
        <v>104</v>
      </c>
      <c r="B12" s="2" t="s">
        <v>15</v>
      </c>
      <c r="C12" s="2" t="s">
        <v>16</v>
      </c>
      <c r="D12" s="2">
        <v>2</v>
      </c>
      <c r="E12" s="2">
        <v>25</v>
      </c>
      <c r="F12" s="2" t="s">
        <v>8</v>
      </c>
      <c r="G12" s="3">
        <v>45324</v>
      </c>
      <c r="L12" s="31" t="str">
        <f t="shared" si="0"/>
        <v>Riya</v>
      </c>
    </row>
    <row r="13" spans="1:12" ht="21" x14ac:dyDescent="0.4">
      <c r="A13" s="2">
        <v>105</v>
      </c>
      <c r="B13" s="2" t="s">
        <v>17</v>
      </c>
      <c r="C13" s="2" t="s">
        <v>7</v>
      </c>
      <c r="D13" s="2">
        <v>10</v>
      </c>
      <c r="E13" s="2">
        <v>20</v>
      </c>
      <c r="F13" s="2" t="s">
        <v>18</v>
      </c>
      <c r="G13" s="3">
        <v>45353</v>
      </c>
      <c r="L13" s="31" t="str">
        <f t="shared" si="0"/>
        <v>Satish</v>
      </c>
    </row>
    <row r="14" spans="1:12" ht="21" x14ac:dyDescent="0.4">
      <c r="A14" s="2">
        <v>106</v>
      </c>
      <c r="B14" s="2" t="s">
        <v>19</v>
      </c>
      <c r="C14" s="2" t="s">
        <v>10</v>
      </c>
      <c r="D14" s="2">
        <v>7</v>
      </c>
      <c r="E14" s="2">
        <v>30</v>
      </c>
      <c r="F14" s="2" t="s">
        <v>11</v>
      </c>
      <c r="G14" s="3">
        <v>45353</v>
      </c>
      <c r="L14" s="31" t="str">
        <f t="shared" si="0"/>
        <v>Anita</v>
      </c>
    </row>
    <row r="15" spans="1:12" ht="21" x14ac:dyDescent="0.4">
      <c r="A15" s="2">
        <v>107</v>
      </c>
      <c r="B15" s="2" t="s">
        <v>20</v>
      </c>
      <c r="C15" s="2" t="s">
        <v>13</v>
      </c>
      <c r="D15" s="2">
        <v>3</v>
      </c>
      <c r="E15" s="2">
        <v>45</v>
      </c>
      <c r="F15" s="2" t="s">
        <v>18</v>
      </c>
      <c r="G15" s="3">
        <v>45384</v>
      </c>
      <c r="L15" s="31" t="str">
        <f t="shared" si="0"/>
        <v>Rohit</v>
      </c>
    </row>
    <row r="16" spans="1:12" ht="21" x14ac:dyDescent="0.4">
      <c r="A16" s="2">
        <v>108</v>
      </c>
      <c r="B16" s="2" t="s">
        <v>21</v>
      </c>
      <c r="C16" s="2" t="s">
        <v>16</v>
      </c>
      <c r="D16" s="2">
        <v>6</v>
      </c>
      <c r="E16" s="2">
        <v>25</v>
      </c>
      <c r="F16" s="2" t="s">
        <v>8</v>
      </c>
      <c r="G16" s="3">
        <v>45384</v>
      </c>
      <c r="L16" s="31" t="str">
        <f t="shared" si="0"/>
        <v>Neha</v>
      </c>
    </row>
    <row r="17" spans="8:8" x14ac:dyDescent="0.3">
      <c r="H17" t="s">
        <v>41</v>
      </c>
    </row>
    <row r="18" spans="8:8" x14ac:dyDescent="0.3">
      <c r="H18" t="s">
        <v>42</v>
      </c>
    </row>
  </sheetData>
  <mergeCells count="2">
    <mergeCell ref="F1:K1"/>
    <mergeCell ref="B3:D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B2CC-0654-4523-9441-5FC81E560134}">
  <dimension ref="A2:K18"/>
  <sheetViews>
    <sheetView workbookViewId="0">
      <selection activeCell="K12" sqref="K12"/>
    </sheetView>
  </sheetViews>
  <sheetFormatPr defaultRowHeight="14.4" x14ac:dyDescent="0.3"/>
  <cols>
    <col min="1" max="1" width="11" bestFit="1" customWidth="1"/>
    <col min="2" max="2" width="21.77734375" bestFit="1" customWidth="1"/>
    <col min="3" max="3" width="14" bestFit="1" customWidth="1"/>
    <col min="4" max="4" width="11.88671875" bestFit="1" customWidth="1"/>
    <col min="6" max="6" width="13.44140625" bestFit="1" customWidth="1"/>
    <col min="7" max="7" width="15.5546875" bestFit="1" customWidth="1"/>
  </cols>
  <sheetData>
    <row r="2" spans="1:11" ht="23.4" x14ac:dyDescent="0.3">
      <c r="F2" s="5" t="s">
        <v>29</v>
      </c>
      <c r="G2" s="5"/>
      <c r="H2" s="5"/>
      <c r="I2" s="5"/>
      <c r="J2" s="5"/>
      <c r="K2" s="5"/>
    </row>
    <row r="3" spans="1:11" ht="15" thickBot="1" x14ac:dyDescent="0.35"/>
    <row r="4" spans="1:11" ht="21.6" thickBot="1" x14ac:dyDescent="0.45">
      <c r="B4" s="9" t="s">
        <v>34</v>
      </c>
      <c r="C4" s="10"/>
      <c r="D4" s="11"/>
    </row>
    <row r="6" spans="1:11" ht="15" thickBot="1" x14ac:dyDescent="0.35"/>
    <row r="7" spans="1:11" ht="21.6" thickBot="1" x14ac:dyDescent="0.45">
      <c r="B7" s="13" t="s">
        <v>35</v>
      </c>
      <c r="C7" s="14"/>
    </row>
    <row r="9" spans="1:11" ht="21" x14ac:dyDescent="0.4">
      <c r="A9" s="1" t="s">
        <v>0</v>
      </c>
      <c r="B9" s="1" t="s">
        <v>22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1:11" ht="21" x14ac:dyDescent="0.4">
      <c r="A10" s="2">
        <v>101</v>
      </c>
      <c r="B10" s="2" t="s">
        <v>6</v>
      </c>
      <c r="C10" s="2" t="s">
        <v>7</v>
      </c>
      <c r="D10" s="2">
        <v>5</v>
      </c>
      <c r="E10" s="2">
        <v>20</v>
      </c>
      <c r="F10" s="2" t="s">
        <v>8</v>
      </c>
      <c r="G10" s="3">
        <v>45293</v>
      </c>
    </row>
    <row r="11" spans="1:11" ht="21" x14ac:dyDescent="0.4">
      <c r="A11" s="2">
        <v>102</v>
      </c>
      <c r="B11" s="2" t="s">
        <v>9</v>
      </c>
      <c r="C11" s="2" t="s">
        <v>10</v>
      </c>
      <c r="D11" s="2">
        <v>3</v>
      </c>
      <c r="E11" s="2">
        <v>30</v>
      </c>
      <c r="F11" s="2" t="s">
        <v>11</v>
      </c>
      <c r="G11" s="3">
        <v>45293</v>
      </c>
    </row>
    <row r="12" spans="1:11" ht="28.8" x14ac:dyDescent="0.55000000000000004">
      <c r="A12" s="2">
        <v>103</v>
      </c>
      <c r="B12" s="2" t="s">
        <v>12</v>
      </c>
      <c r="C12" s="2" t="s">
        <v>13</v>
      </c>
      <c r="D12" s="2">
        <v>8</v>
      </c>
      <c r="E12" s="2">
        <v>45</v>
      </c>
      <c r="F12" s="2" t="s">
        <v>14</v>
      </c>
      <c r="G12" s="3">
        <v>45324</v>
      </c>
      <c r="K12" s="32">
        <f>COUNTIF(F10:F17,F11)</f>
        <v>2</v>
      </c>
    </row>
    <row r="13" spans="1:11" ht="21" x14ac:dyDescent="0.4">
      <c r="A13" s="2">
        <v>104</v>
      </c>
      <c r="B13" s="2" t="s">
        <v>15</v>
      </c>
      <c r="C13" s="2" t="s">
        <v>16</v>
      </c>
      <c r="D13" s="2">
        <v>2</v>
      </c>
      <c r="E13" s="2">
        <v>25</v>
      </c>
      <c r="F13" s="2" t="s">
        <v>8</v>
      </c>
      <c r="G13" s="3">
        <v>45324</v>
      </c>
    </row>
    <row r="14" spans="1:11" ht="21" x14ac:dyDescent="0.4">
      <c r="A14" s="2">
        <v>105</v>
      </c>
      <c r="B14" s="2" t="s">
        <v>17</v>
      </c>
      <c r="C14" s="2" t="s">
        <v>7</v>
      </c>
      <c r="D14" s="2">
        <v>10</v>
      </c>
      <c r="E14" s="2">
        <v>20</v>
      </c>
      <c r="F14" s="2" t="s">
        <v>18</v>
      </c>
      <c r="G14" s="3">
        <v>45353</v>
      </c>
    </row>
    <row r="15" spans="1:11" ht="21" x14ac:dyDescent="0.4">
      <c r="A15" s="2">
        <v>106</v>
      </c>
      <c r="B15" s="2" t="s">
        <v>19</v>
      </c>
      <c r="C15" s="2" t="s">
        <v>10</v>
      </c>
      <c r="D15" s="2">
        <v>7</v>
      </c>
      <c r="E15" s="2">
        <v>30</v>
      </c>
      <c r="F15" s="2" t="s">
        <v>11</v>
      </c>
      <c r="G15" s="3">
        <v>45353</v>
      </c>
    </row>
    <row r="16" spans="1:11" ht="21" x14ac:dyDescent="0.4">
      <c r="A16" s="2">
        <v>107</v>
      </c>
      <c r="B16" s="2" t="s">
        <v>20</v>
      </c>
      <c r="C16" s="2" t="s">
        <v>13</v>
      </c>
      <c r="D16" s="2">
        <v>3</v>
      </c>
      <c r="E16" s="2">
        <v>45</v>
      </c>
      <c r="F16" s="2" t="s">
        <v>18</v>
      </c>
      <c r="G16" s="3">
        <v>45384</v>
      </c>
    </row>
    <row r="17" spans="1:8" ht="21" x14ac:dyDescent="0.4">
      <c r="A17" s="2">
        <v>108</v>
      </c>
      <c r="B17" s="2" t="s">
        <v>21</v>
      </c>
      <c r="C17" s="2" t="s">
        <v>16</v>
      </c>
      <c r="D17" s="2">
        <v>6</v>
      </c>
      <c r="E17" s="2">
        <v>25</v>
      </c>
      <c r="F17" s="2" t="s">
        <v>8</v>
      </c>
      <c r="G17" s="3">
        <v>45384</v>
      </c>
    </row>
    <row r="18" spans="1:8" x14ac:dyDescent="0.3">
      <c r="H18" t="s">
        <v>41</v>
      </c>
    </row>
  </sheetData>
  <mergeCells count="2">
    <mergeCell ref="F2:K2"/>
    <mergeCell ref="B4:D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F099-3B7D-41ED-AE3F-ED23F01D9C52}">
  <dimension ref="A1:T18"/>
  <sheetViews>
    <sheetView tabSelected="1" zoomScale="73" workbookViewId="0">
      <selection activeCell="M3" sqref="M3"/>
    </sheetView>
  </sheetViews>
  <sheetFormatPr defaultRowHeight="14.4" x14ac:dyDescent="0.3"/>
  <cols>
    <col min="1" max="1" width="11" bestFit="1" customWidth="1"/>
    <col min="2" max="2" width="21.77734375" bestFit="1" customWidth="1"/>
    <col min="3" max="3" width="14" bestFit="1" customWidth="1"/>
    <col min="4" max="4" width="11.88671875" bestFit="1" customWidth="1"/>
    <col min="6" max="6" width="13.44140625" bestFit="1" customWidth="1"/>
    <col min="7" max="7" width="15.5546875" bestFit="1" customWidth="1"/>
    <col min="11" max="11" width="11" bestFit="1" customWidth="1"/>
    <col min="12" max="12" width="21.77734375" bestFit="1" customWidth="1"/>
    <col min="13" max="13" width="14" bestFit="1" customWidth="1"/>
    <col min="14" max="14" width="11.88671875" bestFit="1" customWidth="1"/>
    <col min="16" max="16" width="13.44140625" bestFit="1" customWidth="1"/>
    <col min="17" max="17" width="15.5546875" bestFit="1" customWidth="1"/>
    <col min="18" max="18" width="14.77734375" bestFit="1" customWidth="1"/>
  </cols>
  <sheetData>
    <row r="1" spans="1:20" ht="23.4" x14ac:dyDescent="0.3">
      <c r="D1" s="5" t="s">
        <v>30</v>
      </c>
      <c r="E1" s="5"/>
      <c r="F1" s="5"/>
      <c r="G1" s="5"/>
      <c r="H1" s="5"/>
      <c r="I1" s="5"/>
    </row>
    <row r="4" spans="1:20" ht="15" thickBot="1" x14ac:dyDescent="0.35"/>
    <row r="5" spans="1:20" ht="21.6" thickBot="1" x14ac:dyDescent="0.45">
      <c r="B5" s="9" t="s">
        <v>34</v>
      </c>
      <c r="C5" s="10"/>
      <c r="D5" s="11"/>
    </row>
    <row r="7" spans="1:20" ht="15" thickBot="1" x14ac:dyDescent="0.35"/>
    <row r="8" spans="1:20" ht="21.6" thickBot="1" x14ac:dyDescent="0.45">
      <c r="B8" s="13" t="s">
        <v>35</v>
      </c>
      <c r="C8" s="14"/>
    </row>
    <row r="10" spans="1:20" ht="21" x14ac:dyDescent="0.4">
      <c r="A10" s="1" t="s">
        <v>0</v>
      </c>
      <c r="B10" s="1" t="s">
        <v>22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K10" s="1" t="s">
        <v>0</v>
      </c>
      <c r="L10" s="1" t="s">
        <v>22</v>
      </c>
      <c r="M10" s="1" t="s">
        <v>1</v>
      </c>
      <c r="N10" s="1" t="s">
        <v>2</v>
      </c>
      <c r="O10" s="1" t="s">
        <v>3</v>
      </c>
      <c r="P10" s="1" t="s">
        <v>4</v>
      </c>
      <c r="Q10" s="1" t="s">
        <v>5</v>
      </c>
      <c r="R10" s="34" t="s">
        <v>44</v>
      </c>
    </row>
    <row r="11" spans="1:20" ht="21" x14ac:dyDescent="0.4">
      <c r="A11" s="2">
        <v>101</v>
      </c>
      <c r="B11" s="2" t="s">
        <v>6</v>
      </c>
      <c r="C11" s="2" t="s">
        <v>7</v>
      </c>
      <c r="D11" s="2">
        <v>5</v>
      </c>
      <c r="E11" s="2">
        <v>20</v>
      </c>
      <c r="F11" s="2" t="s">
        <v>8</v>
      </c>
      <c r="G11" s="3">
        <v>45293</v>
      </c>
      <c r="K11" s="2">
        <v>101</v>
      </c>
      <c r="L11" s="2" t="s">
        <v>6</v>
      </c>
      <c r="M11" s="2" t="s">
        <v>7</v>
      </c>
      <c r="N11" s="2">
        <v>5</v>
      </c>
      <c r="O11" s="2">
        <v>20</v>
      </c>
      <c r="P11" s="2" t="s">
        <v>8</v>
      </c>
      <c r="Q11" s="3">
        <v>45293</v>
      </c>
      <c r="R11" s="35" cm="1">
        <f t="array" ref="R11:R18">N11:N18*O11:O18</f>
        <v>100</v>
      </c>
    </row>
    <row r="12" spans="1:20" ht="21" x14ac:dyDescent="0.4">
      <c r="A12" s="2">
        <v>102</v>
      </c>
      <c r="B12" s="2" t="s">
        <v>9</v>
      </c>
      <c r="C12" s="2" t="s">
        <v>10</v>
      </c>
      <c r="D12" s="2">
        <v>3</v>
      </c>
      <c r="E12" s="2">
        <v>30</v>
      </c>
      <c r="F12" s="2" t="s">
        <v>11</v>
      </c>
      <c r="G12" s="3">
        <v>45293</v>
      </c>
      <c r="K12" s="2">
        <v>102</v>
      </c>
      <c r="L12" s="2" t="s">
        <v>9</v>
      </c>
      <c r="M12" s="2" t="s">
        <v>10</v>
      </c>
      <c r="N12" s="2">
        <v>3</v>
      </c>
      <c r="O12" s="2">
        <v>30</v>
      </c>
      <c r="P12" s="2" t="s">
        <v>11</v>
      </c>
      <c r="Q12" s="3">
        <v>45293</v>
      </c>
      <c r="R12" s="35">
        <v>90</v>
      </c>
      <c r="T12" s="33">
        <f>SUMIFS(_xlfn.ANCHORARRAY(R11),Q11:Q18,Q15)</f>
        <v>410</v>
      </c>
    </row>
    <row r="13" spans="1:20" ht="21" x14ac:dyDescent="0.4">
      <c r="A13" s="2">
        <v>103</v>
      </c>
      <c r="B13" s="2" t="s">
        <v>12</v>
      </c>
      <c r="C13" s="2" t="s">
        <v>13</v>
      </c>
      <c r="D13" s="2">
        <v>8</v>
      </c>
      <c r="E13" s="2">
        <v>45</v>
      </c>
      <c r="F13" s="2" t="s">
        <v>14</v>
      </c>
      <c r="G13" s="3">
        <v>45324</v>
      </c>
      <c r="K13" s="2">
        <v>103</v>
      </c>
      <c r="L13" s="2" t="s">
        <v>12</v>
      </c>
      <c r="M13" s="2" t="s">
        <v>13</v>
      </c>
      <c r="N13" s="2">
        <v>8</v>
      </c>
      <c r="O13" s="2">
        <v>45</v>
      </c>
      <c r="P13" s="2" t="s">
        <v>14</v>
      </c>
      <c r="Q13" s="3">
        <v>45324</v>
      </c>
      <c r="R13" s="35">
        <v>360</v>
      </c>
    </row>
    <row r="14" spans="1:20" ht="21" x14ac:dyDescent="0.4">
      <c r="A14" s="2">
        <v>104</v>
      </c>
      <c r="B14" s="2" t="s">
        <v>15</v>
      </c>
      <c r="C14" s="2" t="s">
        <v>16</v>
      </c>
      <c r="D14" s="2">
        <v>2</v>
      </c>
      <c r="E14" s="2">
        <v>25</v>
      </c>
      <c r="F14" s="2" t="s">
        <v>8</v>
      </c>
      <c r="G14" s="3">
        <v>45324</v>
      </c>
      <c r="K14" s="2">
        <v>104</v>
      </c>
      <c r="L14" s="2" t="s">
        <v>15</v>
      </c>
      <c r="M14" s="2" t="s">
        <v>16</v>
      </c>
      <c r="N14" s="2">
        <v>2</v>
      </c>
      <c r="O14" s="2">
        <v>25</v>
      </c>
      <c r="P14" s="2" t="s">
        <v>8</v>
      </c>
      <c r="Q14" s="3">
        <v>45324</v>
      </c>
      <c r="R14" s="35">
        <v>50</v>
      </c>
    </row>
    <row r="15" spans="1:20" ht="21" x14ac:dyDescent="0.4">
      <c r="A15" s="2">
        <v>105</v>
      </c>
      <c r="B15" s="2" t="s">
        <v>17</v>
      </c>
      <c r="C15" s="2" t="s">
        <v>7</v>
      </c>
      <c r="D15" s="2">
        <v>10</v>
      </c>
      <c r="E15" s="2">
        <v>20</v>
      </c>
      <c r="F15" s="2" t="s">
        <v>18</v>
      </c>
      <c r="G15" s="3">
        <v>45353</v>
      </c>
      <c r="K15" s="2">
        <v>105</v>
      </c>
      <c r="L15" s="2" t="s">
        <v>17</v>
      </c>
      <c r="M15" s="2" t="s">
        <v>7</v>
      </c>
      <c r="N15" s="2">
        <v>10</v>
      </c>
      <c r="O15" s="2">
        <v>20</v>
      </c>
      <c r="P15" s="2" t="s">
        <v>18</v>
      </c>
      <c r="Q15" s="3">
        <v>45353</v>
      </c>
      <c r="R15" s="35">
        <v>200</v>
      </c>
    </row>
    <row r="16" spans="1:20" ht="21" x14ac:dyDescent="0.4">
      <c r="A16" s="2">
        <v>106</v>
      </c>
      <c r="B16" s="2" t="s">
        <v>19</v>
      </c>
      <c r="C16" s="2" t="s">
        <v>10</v>
      </c>
      <c r="D16" s="2">
        <v>7</v>
      </c>
      <c r="E16" s="2">
        <v>30</v>
      </c>
      <c r="F16" s="2" t="s">
        <v>11</v>
      </c>
      <c r="G16" s="3">
        <v>45353</v>
      </c>
      <c r="K16" s="2">
        <v>106</v>
      </c>
      <c r="L16" s="2" t="s">
        <v>19</v>
      </c>
      <c r="M16" s="2" t="s">
        <v>10</v>
      </c>
      <c r="N16" s="2">
        <v>7</v>
      </c>
      <c r="O16" s="2">
        <v>30</v>
      </c>
      <c r="P16" s="2" t="s">
        <v>11</v>
      </c>
      <c r="Q16" s="3">
        <v>45353</v>
      </c>
      <c r="R16" s="35">
        <v>210</v>
      </c>
    </row>
    <row r="17" spans="1:18" ht="21" x14ac:dyDescent="0.4">
      <c r="A17" s="2">
        <v>107</v>
      </c>
      <c r="B17" s="2" t="s">
        <v>20</v>
      </c>
      <c r="C17" s="2" t="s">
        <v>13</v>
      </c>
      <c r="D17" s="2">
        <v>3</v>
      </c>
      <c r="E17" s="2">
        <v>45</v>
      </c>
      <c r="F17" s="2" t="s">
        <v>18</v>
      </c>
      <c r="G17" s="3">
        <v>45384</v>
      </c>
      <c r="K17" s="2">
        <v>107</v>
      </c>
      <c r="L17" s="2" t="s">
        <v>20</v>
      </c>
      <c r="M17" s="2" t="s">
        <v>13</v>
      </c>
      <c r="N17" s="2">
        <v>3</v>
      </c>
      <c r="O17" s="2">
        <v>45</v>
      </c>
      <c r="P17" s="2" t="s">
        <v>18</v>
      </c>
      <c r="Q17" s="3">
        <v>45384</v>
      </c>
      <c r="R17" s="35">
        <v>135</v>
      </c>
    </row>
    <row r="18" spans="1:18" ht="21" x14ac:dyDescent="0.4">
      <c r="A18" s="2">
        <v>108</v>
      </c>
      <c r="B18" s="2" t="s">
        <v>21</v>
      </c>
      <c r="C18" s="2" t="s">
        <v>16</v>
      </c>
      <c r="D18" s="2">
        <v>6</v>
      </c>
      <c r="E18" s="2">
        <v>25</v>
      </c>
      <c r="F18" s="2" t="s">
        <v>8</v>
      </c>
      <c r="G18" s="3">
        <v>45384</v>
      </c>
      <c r="K18" s="2">
        <v>108</v>
      </c>
      <c r="L18" s="2" t="s">
        <v>21</v>
      </c>
      <c r="M18" s="2" t="s">
        <v>16</v>
      </c>
      <c r="N18" s="2">
        <v>6</v>
      </c>
      <c r="O18" s="2">
        <v>25</v>
      </c>
      <c r="P18" s="2" t="s">
        <v>8</v>
      </c>
      <c r="Q18" s="3">
        <v>45384</v>
      </c>
      <c r="R18" s="35">
        <v>150</v>
      </c>
    </row>
  </sheetData>
  <mergeCells count="2">
    <mergeCell ref="B5:D5"/>
    <mergeCell ref="D1:I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D2F1-6010-4698-9910-0EE85228C1E2}">
  <dimension ref="B1:N17"/>
  <sheetViews>
    <sheetView workbookViewId="0">
      <selection activeCell="J9" sqref="J9"/>
    </sheetView>
  </sheetViews>
  <sheetFormatPr defaultRowHeight="14.4" x14ac:dyDescent="0.3"/>
  <cols>
    <col min="2" max="2" width="11" bestFit="1" customWidth="1"/>
    <col min="3" max="3" width="21.77734375" bestFit="1" customWidth="1"/>
    <col min="4" max="4" width="14" bestFit="1" customWidth="1"/>
    <col min="5" max="5" width="11.88671875" bestFit="1" customWidth="1"/>
    <col min="7" max="7" width="13.44140625" bestFit="1" customWidth="1"/>
    <col min="8" max="8" width="15.5546875" bestFit="1" customWidth="1"/>
    <col min="13" max="13" width="12.5546875" bestFit="1" customWidth="1"/>
  </cols>
  <sheetData>
    <row r="1" spans="2:14" ht="23.4" x14ac:dyDescent="0.3">
      <c r="F1" s="5" t="s">
        <v>31</v>
      </c>
      <c r="G1" s="5"/>
      <c r="H1" s="5"/>
      <c r="I1" s="5"/>
      <c r="J1" s="5"/>
      <c r="K1" s="5"/>
      <c r="L1" s="5"/>
      <c r="M1" s="5"/>
    </row>
    <row r="2" spans="2:14" ht="15" thickBot="1" x14ac:dyDescent="0.35"/>
    <row r="3" spans="2:14" ht="21.6" thickBot="1" x14ac:dyDescent="0.45">
      <c r="B3" s="9" t="s">
        <v>34</v>
      </c>
      <c r="C3" s="10"/>
      <c r="D3" s="11"/>
    </row>
    <row r="5" spans="2:14" ht="15" thickBot="1" x14ac:dyDescent="0.35"/>
    <row r="6" spans="2:14" ht="21.6" thickBot="1" x14ac:dyDescent="0.45">
      <c r="B6" s="13" t="s">
        <v>35</v>
      </c>
      <c r="C6" s="14"/>
    </row>
    <row r="9" spans="2:14" ht="21" x14ac:dyDescent="0.4">
      <c r="B9" s="1" t="s">
        <v>0</v>
      </c>
      <c r="C9" s="1" t="s">
        <v>22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</row>
    <row r="10" spans="2:14" ht="21" x14ac:dyDescent="0.4">
      <c r="B10" s="2">
        <v>101</v>
      </c>
      <c r="C10" s="2" t="s">
        <v>6</v>
      </c>
      <c r="D10" s="2" t="s">
        <v>7</v>
      </c>
      <c r="E10" s="2">
        <v>5</v>
      </c>
      <c r="F10" s="2">
        <v>20</v>
      </c>
      <c r="G10" s="2" t="s">
        <v>8</v>
      </c>
      <c r="H10" s="3">
        <v>45293</v>
      </c>
    </row>
    <row r="11" spans="2:14" ht="21" x14ac:dyDescent="0.4">
      <c r="B11" s="2">
        <v>102</v>
      </c>
      <c r="C11" s="2" t="s">
        <v>9</v>
      </c>
      <c r="D11" s="2" t="s">
        <v>10</v>
      </c>
      <c r="E11" s="2">
        <v>3</v>
      </c>
      <c r="F11" s="2">
        <v>30</v>
      </c>
      <c r="G11" s="2" t="s">
        <v>11</v>
      </c>
      <c r="H11" s="3">
        <v>45293</v>
      </c>
      <c r="M11" s="36" t="s">
        <v>45</v>
      </c>
      <c r="N11" s="36" t="s">
        <v>3</v>
      </c>
    </row>
    <row r="12" spans="2:14" ht="21" x14ac:dyDescent="0.4">
      <c r="B12" s="2">
        <v>103</v>
      </c>
      <c r="C12" s="2" t="s">
        <v>12</v>
      </c>
      <c r="D12" s="2" t="s">
        <v>13</v>
      </c>
      <c r="E12" s="2">
        <v>8</v>
      </c>
      <c r="F12" s="2">
        <v>45</v>
      </c>
      <c r="G12" s="2" t="s">
        <v>14</v>
      </c>
      <c r="H12" s="3">
        <v>45324</v>
      </c>
      <c r="M12" s="16" t="s">
        <v>10</v>
      </c>
      <c r="N12" s="16">
        <f>_xlfn.XLOOKUP(M12,$D$10:$D$17,E10:E17)</f>
        <v>3</v>
      </c>
    </row>
    <row r="13" spans="2:14" ht="21" x14ac:dyDescent="0.4">
      <c r="B13" s="2">
        <v>104</v>
      </c>
      <c r="C13" s="2" t="s">
        <v>15</v>
      </c>
      <c r="D13" s="2" t="s">
        <v>16</v>
      </c>
      <c r="E13" s="2">
        <v>2</v>
      </c>
      <c r="F13" s="2">
        <v>25</v>
      </c>
      <c r="G13" s="2" t="s">
        <v>8</v>
      </c>
      <c r="H13" s="3">
        <v>45324</v>
      </c>
    </row>
    <row r="14" spans="2:14" ht="21" x14ac:dyDescent="0.4">
      <c r="B14" s="2">
        <v>105</v>
      </c>
      <c r="C14" s="2" t="s">
        <v>17</v>
      </c>
      <c r="D14" s="2" t="s">
        <v>7</v>
      </c>
      <c r="E14" s="2">
        <v>10</v>
      </c>
      <c r="F14" s="2">
        <v>20</v>
      </c>
      <c r="G14" s="2" t="s">
        <v>18</v>
      </c>
      <c r="H14" s="3">
        <v>45353</v>
      </c>
    </row>
    <row r="15" spans="2:14" ht="21" x14ac:dyDescent="0.4">
      <c r="B15" s="2">
        <v>106</v>
      </c>
      <c r="C15" s="2" t="s">
        <v>19</v>
      </c>
      <c r="D15" s="2" t="s">
        <v>10</v>
      </c>
      <c r="E15" s="2">
        <v>7</v>
      </c>
      <c r="F15" s="2">
        <v>30</v>
      </c>
      <c r="G15" s="2" t="s">
        <v>11</v>
      </c>
      <c r="H15" s="3">
        <v>45353</v>
      </c>
    </row>
    <row r="16" spans="2:14" ht="21" x14ac:dyDescent="0.4">
      <c r="B16" s="2">
        <v>107</v>
      </c>
      <c r="C16" s="2" t="s">
        <v>20</v>
      </c>
      <c r="D16" s="2" t="s">
        <v>13</v>
      </c>
      <c r="E16" s="2">
        <v>3</v>
      </c>
      <c r="F16" s="2">
        <v>45</v>
      </c>
      <c r="G16" s="2" t="s">
        <v>18</v>
      </c>
      <c r="H16" s="3">
        <v>45384</v>
      </c>
    </row>
    <row r="17" spans="2:8" ht="21" x14ac:dyDescent="0.4">
      <c r="B17" s="2">
        <v>108</v>
      </c>
      <c r="C17" s="2" t="s">
        <v>21</v>
      </c>
      <c r="D17" s="2" t="s">
        <v>16</v>
      </c>
      <c r="E17" s="2">
        <v>6</v>
      </c>
      <c r="F17" s="2">
        <v>25</v>
      </c>
      <c r="G17" s="2" t="s">
        <v>8</v>
      </c>
      <c r="H17" s="3">
        <v>45384</v>
      </c>
    </row>
  </sheetData>
  <mergeCells count="2">
    <mergeCell ref="F1:M1"/>
    <mergeCell ref="B3:D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6AF2-4557-42DA-8D0E-9A7DA44A506C}">
  <dimension ref="B1:R17"/>
  <sheetViews>
    <sheetView zoomScale="90" workbookViewId="0">
      <selection activeCell="Q5" sqref="Q5"/>
    </sheetView>
  </sheetViews>
  <sheetFormatPr defaultRowHeight="14.4" x14ac:dyDescent="0.3"/>
  <cols>
    <col min="2" max="2" width="11" bestFit="1" customWidth="1"/>
    <col min="3" max="3" width="21.77734375" bestFit="1" customWidth="1"/>
    <col min="4" max="4" width="14" bestFit="1" customWidth="1"/>
    <col min="5" max="5" width="11.88671875" bestFit="1" customWidth="1"/>
    <col min="6" max="6" width="7.6640625" bestFit="1" customWidth="1"/>
    <col min="7" max="7" width="13.44140625" bestFit="1" customWidth="1"/>
    <col min="8" max="8" width="15.5546875" bestFit="1" customWidth="1"/>
    <col min="12" max="12" width="11" bestFit="1" customWidth="1"/>
    <col min="13" max="13" width="21.77734375" bestFit="1" customWidth="1"/>
    <col min="14" max="14" width="11" bestFit="1" customWidth="1"/>
    <col min="15" max="15" width="11.88671875" bestFit="1" customWidth="1"/>
    <col min="16" max="16" width="7.6640625" bestFit="1" customWidth="1"/>
    <col min="17" max="17" width="13.44140625" bestFit="1" customWidth="1"/>
    <col min="18" max="18" width="15.5546875" bestFit="1" customWidth="1"/>
  </cols>
  <sheetData>
    <row r="1" spans="2:18" ht="24" thickBot="1" x14ac:dyDescent="0.35">
      <c r="F1" s="5" t="s">
        <v>32</v>
      </c>
      <c r="G1" s="5"/>
      <c r="H1" s="5"/>
      <c r="I1" s="5"/>
      <c r="J1" s="5"/>
      <c r="K1" s="5"/>
      <c r="L1" s="5"/>
    </row>
    <row r="2" spans="2:18" ht="21.6" thickBot="1" x14ac:dyDescent="0.45">
      <c r="B2" s="9" t="s">
        <v>34</v>
      </c>
      <c r="C2" s="10"/>
      <c r="D2" s="11"/>
    </row>
    <row r="4" spans="2:18" ht="15" thickBot="1" x14ac:dyDescent="0.35"/>
    <row r="5" spans="2:18" ht="21.6" thickBot="1" x14ac:dyDescent="0.45">
      <c r="B5" s="13" t="s">
        <v>35</v>
      </c>
      <c r="C5" s="14"/>
    </row>
    <row r="9" spans="2:18" ht="21" x14ac:dyDescent="0.4">
      <c r="B9" s="1" t="s">
        <v>0</v>
      </c>
      <c r="C9" s="1" t="s">
        <v>22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L9" s="1" t="s">
        <v>0</v>
      </c>
      <c r="M9" s="1" t="s">
        <v>22</v>
      </c>
      <c r="N9" s="1" t="s">
        <v>1</v>
      </c>
      <c r="O9" s="1" t="s">
        <v>2</v>
      </c>
      <c r="P9" s="1" t="s">
        <v>3</v>
      </c>
      <c r="Q9" s="1" t="s">
        <v>4</v>
      </c>
      <c r="R9" s="1" t="s">
        <v>5</v>
      </c>
    </row>
    <row r="10" spans="2:18" ht="21" x14ac:dyDescent="0.4">
      <c r="B10" s="2">
        <v>101</v>
      </c>
      <c r="C10" s="2" t="s">
        <v>6</v>
      </c>
      <c r="D10" s="2" t="s">
        <v>7</v>
      </c>
      <c r="E10" s="2">
        <v>5</v>
      </c>
      <c r="F10" s="2">
        <v>20</v>
      </c>
      <c r="G10" s="2" t="s">
        <v>8</v>
      </c>
      <c r="H10" s="3">
        <v>45293</v>
      </c>
      <c r="L10" s="2">
        <v>101</v>
      </c>
      <c r="M10" s="2" t="s">
        <v>6</v>
      </c>
      <c r="N10" s="2" t="s">
        <v>7</v>
      </c>
      <c r="O10" s="2">
        <v>5</v>
      </c>
      <c r="P10" s="2">
        <v>20</v>
      </c>
      <c r="Q10" s="2" t="s">
        <v>8</v>
      </c>
      <c r="R10" s="3">
        <v>45293</v>
      </c>
    </row>
    <row r="11" spans="2:18" ht="21" x14ac:dyDescent="0.4">
      <c r="B11" s="2">
        <v>102</v>
      </c>
      <c r="C11" s="2" t="s">
        <v>9</v>
      </c>
      <c r="D11" s="2" t="s">
        <v>10</v>
      </c>
      <c r="E11" s="2">
        <v>3</v>
      </c>
      <c r="F11" s="2">
        <v>30</v>
      </c>
      <c r="G11" s="2" t="s">
        <v>11</v>
      </c>
      <c r="H11" s="3">
        <v>45293</v>
      </c>
      <c r="L11" s="2">
        <v>102</v>
      </c>
      <c r="M11" s="2" t="s">
        <v>9</v>
      </c>
      <c r="N11" s="2" t="s">
        <v>10</v>
      </c>
      <c r="O11" s="2">
        <v>3</v>
      </c>
      <c r="P11" s="2">
        <v>30</v>
      </c>
      <c r="Q11" s="2" t="s">
        <v>11</v>
      </c>
      <c r="R11" s="3">
        <v>45293</v>
      </c>
    </row>
    <row r="12" spans="2:18" ht="21" x14ac:dyDescent="0.4">
      <c r="B12" s="2">
        <v>103</v>
      </c>
      <c r="C12" s="2" t="s">
        <v>12</v>
      </c>
      <c r="D12" s="2" t="s">
        <v>13</v>
      </c>
      <c r="E12" s="2">
        <v>8</v>
      </c>
      <c r="F12" s="2">
        <v>45</v>
      </c>
      <c r="G12" s="2" t="s">
        <v>14</v>
      </c>
      <c r="H12" s="3">
        <v>45324</v>
      </c>
      <c r="L12" s="2">
        <v>103</v>
      </c>
      <c r="M12" s="2" t="s">
        <v>12</v>
      </c>
      <c r="N12" s="2" t="s">
        <v>13</v>
      </c>
      <c r="O12" s="2">
        <v>8</v>
      </c>
      <c r="P12" s="2">
        <v>45</v>
      </c>
      <c r="Q12" s="2" t="s">
        <v>14</v>
      </c>
      <c r="R12" s="3">
        <v>45324</v>
      </c>
    </row>
    <row r="13" spans="2:18" ht="21" x14ac:dyDescent="0.4">
      <c r="B13" s="2">
        <v>104</v>
      </c>
      <c r="C13" s="2" t="s">
        <v>15</v>
      </c>
      <c r="D13" s="2" t="s">
        <v>16</v>
      </c>
      <c r="E13" s="2">
        <v>2</v>
      </c>
      <c r="F13" s="2">
        <v>25</v>
      </c>
      <c r="G13" s="2" t="s">
        <v>8</v>
      </c>
      <c r="H13" s="3">
        <v>45324</v>
      </c>
      <c r="L13" s="2">
        <v>104</v>
      </c>
      <c r="M13" s="2" t="s">
        <v>15</v>
      </c>
      <c r="N13" s="2" t="s">
        <v>16</v>
      </c>
      <c r="O13" s="2">
        <v>2</v>
      </c>
      <c r="P13" s="2">
        <v>25</v>
      </c>
      <c r="Q13" s="2" t="s">
        <v>8</v>
      </c>
      <c r="R13" s="3">
        <v>45324</v>
      </c>
    </row>
    <row r="14" spans="2:18" ht="21" x14ac:dyDescent="0.4">
      <c r="B14" s="2">
        <v>105</v>
      </c>
      <c r="C14" s="2" t="s">
        <v>17</v>
      </c>
      <c r="D14" s="2" t="s">
        <v>7</v>
      </c>
      <c r="E14" s="2">
        <v>10</v>
      </c>
      <c r="F14" s="2">
        <v>20</v>
      </c>
      <c r="G14" s="2" t="s">
        <v>18</v>
      </c>
      <c r="H14" s="3">
        <v>45353</v>
      </c>
      <c r="L14" s="2">
        <v>105</v>
      </c>
      <c r="M14" s="2" t="s">
        <v>17</v>
      </c>
      <c r="N14" s="2" t="s">
        <v>7</v>
      </c>
      <c r="O14" s="2">
        <v>10</v>
      </c>
      <c r="P14" s="2">
        <v>20</v>
      </c>
      <c r="Q14" s="2" t="s">
        <v>18</v>
      </c>
      <c r="R14" s="3">
        <v>45353</v>
      </c>
    </row>
    <row r="15" spans="2:18" ht="21" x14ac:dyDescent="0.4">
      <c r="B15" s="2">
        <v>106</v>
      </c>
      <c r="C15" s="2" t="s">
        <v>19</v>
      </c>
      <c r="D15" s="2" t="s">
        <v>10</v>
      </c>
      <c r="E15" s="2">
        <v>7</v>
      </c>
      <c r="F15" s="2">
        <v>30</v>
      </c>
      <c r="G15" s="2" t="s">
        <v>11</v>
      </c>
      <c r="H15" s="3">
        <v>45353</v>
      </c>
      <c r="L15" s="2">
        <v>106</v>
      </c>
      <c r="M15" s="2" t="s">
        <v>19</v>
      </c>
      <c r="N15" s="2" t="s">
        <v>10</v>
      </c>
      <c r="O15" s="2">
        <v>7</v>
      </c>
      <c r="P15" s="2">
        <v>30</v>
      </c>
      <c r="Q15" s="2" t="s">
        <v>11</v>
      </c>
      <c r="R15" s="3">
        <v>45353</v>
      </c>
    </row>
    <row r="16" spans="2:18" ht="21" x14ac:dyDescent="0.4">
      <c r="B16" s="2">
        <v>107</v>
      </c>
      <c r="C16" s="2" t="s">
        <v>20</v>
      </c>
      <c r="D16" s="2" t="s">
        <v>13</v>
      </c>
      <c r="E16" s="2">
        <v>3</v>
      </c>
      <c r="F16" s="2">
        <v>45</v>
      </c>
      <c r="G16" s="2" t="s">
        <v>18</v>
      </c>
      <c r="H16" s="3">
        <v>45384</v>
      </c>
      <c r="L16" s="2">
        <v>107</v>
      </c>
      <c r="M16" s="2" t="s">
        <v>20</v>
      </c>
      <c r="N16" s="2" t="s">
        <v>13</v>
      </c>
      <c r="O16" s="2">
        <v>3</v>
      </c>
      <c r="P16" s="2">
        <v>45</v>
      </c>
      <c r="Q16" s="2" t="s">
        <v>18</v>
      </c>
      <c r="R16" s="3">
        <v>45384</v>
      </c>
    </row>
    <row r="17" spans="2:18" ht="21" x14ac:dyDescent="0.4">
      <c r="B17" s="2">
        <v>108</v>
      </c>
      <c r="C17" s="2" t="s">
        <v>21</v>
      </c>
      <c r="D17" s="2" t="s">
        <v>16</v>
      </c>
      <c r="E17" s="2">
        <v>6</v>
      </c>
      <c r="F17" s="2">
        <v>25</v>
      </c>
      <c r="G17" s="2" t="s">
        <v>8</v>
      </c>
      <c r="H17" s="3">
        <v>45384</v>
      </c>
      <c r="L17" s="2">
        <v>108</v>
      </c>
      <c r="M17" s="2" t="s">
        <v>21</v>
      </c>
      <c r="N17" s="2" t="s">
        <v>16</v>
      </c>
      <c r="O17" s="2">
        <v>6</v>
      </c>
      <c r="P17" s="2">
        <v>25</v>
      </c>
      <c r="Q17" s="2" t="s">
        <v>8</v>
      </c>
      <c r="R17" s="3">
        <v>45384</v>
      </c>
    </row>
  </sheetData>
  <mergeCells count="2">
    <mergeCell ref="B2:D2"/>
    <mergeCell ref="F1:L1"/>
  </mergeCells>
  <conditionalFormatting sqref="O10:O17">
    <cfRule type="cellIs" dxfId="0" priority="1" operator="greaterThan">
      <formula>7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Questions and Data</vt:lpstr>
      <vt:lpstr>Task 1 Solution</vt:lpstr>
      <vt:lpstr>Task 2 Solution</vt:lpstr>
      <vt:lpstr>Task 3 Solution</vt:lpstr>
      <vt:lpstr>Task 4 Solution</vt:lpstr>
      <vt:lpstr>Task 5 Solution</vt:lpstr>
      <vt:lpstr>Task 6 Solution</vt:lpstr>
      <vt:lpstr>Task 7 Solution</vt:lpstr>
      <vt:lpstr>Task 8 Solution</vt:lpstr>
      <vt:lpstr>Task 9 Solution</vt:lpstr>
      <vt:lpstr>Task 10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YADAV</dc:creator>
  <cp:lastModifiedBy>RAKESH KUMAR YADAV</cp:lastModifiedBy>
  <dcterms:created xsi:type="dcterms:W3CDTF">2025-12-05T12:49:13Z</dcterms:created>
  <dcterms:modified xsi:type="dcterms:W3CDTF">2025-12-07T08:47:21Z</dcterms:modified>
</cp:coreProperties>
</file>